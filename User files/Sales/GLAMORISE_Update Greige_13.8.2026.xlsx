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Eschler\User files\Sales\"/>
    </mc:Choice>
  </mc:AlternateContent>
  <xr:revisionPtr revIDLastSave="0" documentId="8_{EE191E30-09ED-4938-BF4D-40267846B8B9}" xr6:coauthVersionLast="47" xr6:coauthVersionMax="47" xr10:uidLastSave="{00000000-0000-0000-0000-000000000000}"/>
  <bookViews>
    <workbookView xWindow="-120" yWindow="-120" windowWidth="29040" windowHeight="15720" tabRatio="811" xr2:uid="{9F1F87CC-15C7-4136-B520-189C0441DDFC}"/>
  </bookViews>
  <sheets>
    <sheet name="Summery" sheetId="7" r:id="rId1"/>
    <sheet name="2943_IAY-076AA.11" sheetId="11" r:id="rId2"/>
    <sheet name="2975_IAY-077AA.11" sheetId="13" r:id="rId3"/>
    <sheet name="1419_SAP-636BB.90" sheetId="5" r:id="rId4"/>
    <sheet name="1428_SAP-636CB.90" sheetId="9" r:id="rId5"/>
    <sheet name="2249_254933AA.11" sheetId="1" r:id="rId6"/>
    <sheet name="1525_255789AA.11" sheetId="3" r:id="rId7"/>
    <sheet name="2390_257145AA.10" sheetId="4" r:id="rId8"/>
    <sheet name="2245_254555AA.11" sheetId="6" r:id="rId9"/>
    <sheet name="2230_257156AA.11" sheetId="14" r:id="rId10"/>
  </sheets>
  <definedNames>
    <definedName name="_xlnm._FilterDatabase" localSheetId="7" hidden="1">'2390_257145AA.10'!$A$4:$R$85</definedName>
    <definedName name="_xlnm.Print_Area" localSheetId="3">'1419_SAP-636BB.90'!$A$1:$Q$26</definedName>
    <definedName name="_xlnm.Print_Area" localSheetId="4">'1428_SAP-636CB.90'!$A$1:$Q$21</definedName>
    <definedName name="_xlnm.Print_Area" localSheetId="6">'1525_255789AA.11'!$A$1:$Q$19</definedName>
    <definedName name="_xlnm.Print_Area" localSheetId="9">'2230_257156AA.11'!$A$1:$Q$12</definedName>
    <definedName name="_xlnm.Print_Area" localSheetId="8">'2245_254555AA.11'!$A$1:$Q$22</definedName>
    <definedName name="_xlnm.Print_Area" localSheetId="5">'2249_254933AA.11'!$A$1:$Q$101</definedName>
    <definedName name="_xlnm.Print_Area" localSheetId="7">'2390_257145AA.10'!$A$1:$R$86</definedName>
    <definedName name="_xlnm.Print_Area" localSheetId="1">'2943_IAY-076AA.11'!$A$1:$Q$85</definedName>
    <definedName name="_xlnm.Print_Area" localSheetId="2">'2975_IAY-077AA.11'!$A$1:$Q$20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0" i="4" l="1"/>
  <c r="C106" i="1"/>
  <c r="C25" i="9" l="1"/>
  <c r="E4" i="7"/>
  <c r="P10" i="9"/>
  <c r="E3" i="7" l="1"/>
  <c r="C30" i="5"/>
  <c r="C19" i="13" l="1"/>
  <c r="C89" i="11"/>
  <c r="C88" i="11"/>
  <c r="P71" i="11"/>
  <c r="P62" i="11"/>
  <c r="E2" i="7" l="1"/>
  <c r="E9" i="7"/>
  <c r="R85" i="4" l="1"/>
  <c r="P96" i="1"/>
  <c r="P101" i="1"/>
  <c r="Q96" i="1"/>
  <c r="E5" i="7"/>
  <c r="E6" i="7"/>
  <c r="Q10" i="9"/>
  <c r="P9" i="9"/>
  <c r="E7" i="7"/>
  <c r="P14" i="3"/>
  <c r="F21" i="9" l="1"/>
  <c r="F15" i="13"/>
  <c r="N15" i="13"/>
  <c r="Q62" i="11"/>
  <c r="O85" i="4"/>
  <c r="F85" i="4"/>
  <c r="Q85" i="4"/>
  <c r="P43" i="11"/>
  <c r="P38" i="11"/>
  <c r="P16" i="5" l="1"/>
  <c r="Q16" i="5" s="1"/>
  <c r="P85" i="11" l="1"/>
  <c r="F85" i="11" l="1"/>
  <c r="Q85" i="11" s="1"/>
  <c r="P52" i="11"/>
  <c r="Q52" i="11" s="1"/>
  <c r="P93" i="1" l="1"/>
  <c r="N101" i="1"/>
  <c r="F101" i="1"/>
  <c r="A10" i="7"/>
  <c r="N12" i="14" l="1"/>
  <c r="F12" i="14"/>
  <c r="Q14" i="3" l="1"/>
  <c r="Q19" i="3" s="1"/>
  <c r="Q93" i="1"/>
  <c r="Q43" i="11"/>
  <c r="P21" i="11"/>
  <c r="P33" i="11"/>
  <c r="Q38" i="11"/>
  <c r="N85" i="11" l="1"/>
  <c r="Q52" i="4"/>
  <c r="F26" i="5"/>
  <c r="N26" i="5"/>
  <c r="P26" i="5" l="1"/>
  <c r="A9" i="7"/>
  <c r="Q9" i="9" l="1"/>
  <c r="Q21" i="9" s="1"/>
  <c r="P15" i="5"/>
  <c r="N21" i="9"/>
  <c r="P21" i="9" s="1"/>
  <c r="P88" i="1" l="1"/>
  <c r="Q88" i="1" s="1"/>
  <c r="Q21" i="11"/>
  <c r="P83" i="1" l="1"/>
  <c r="Q83" i="1" s="1"/>
  <c r="A3" i="7"/>
  <c r="A4" i="7"/>
  <c r="Q15" i="13" l="1"/>
  <c r="Q42" i="4"/>
  <c r="R42" i="4" s="1"/>
  <c r="P78" i="1"/>
  <c r="Q78" i="1" s="1"/>
  <c r="P73" i="1"/>
  <c r="Q73" i="1" s="1"/>
  <c r="Q32" i="4"/>
  <c r="A8" i="7"/>
  <c r="A2" i="7"/>
  <c r="A6" i="7"/>
  <c r="A7" i="7"/>
  <c r="A5" i="7"/>
  <c r="N22" i="6"/>
  <c r="F22" i="6"/>
  <c r="P9" i="5"/>
  <c r="Q9" i="5" s="1"/>
  <c r="Q22" i="4"/>
  <c r="Q12" i="4"/>
  <c r="R12" i="4" s="1"/>
  <c r="N19" i="3"/>
  <c r="F19" i="3"/>
  <c r="P13" i="3"/>
  <c r="Q13" i="3" s="1"/>
  <c r="P10" i="3"/>
  <c r="Q10" i="3" s="1"/>
  <c r="P7" i="3"/>
  <c r="Q7" i="3" s="1"/>
  <c r="Q53" i="1" l="1"/>
  <c r="Q48" i="1"/>
  <c r="Q43" i="1"/>
  <c r="Q38" i="1"/>
  <c r="Q20" i="1"/>
  <c r="P68" i="1" l="1"/>
  <c r="Q68" i="1" s="1"/>
  <c r="P63" i="1"/>
  <c r="Q63" i="1" s="1"/>
  <c r="P58" i="1"/>
  <c r="Q58" i="1" s="1"/>
  <c r="P53" i="1"/>
  <c r="P48" i="1"/>
  <c r="P43" i="1"/>
  <c r="P38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pimporn</author>
  </authors>
  <commentList>
    <comment ref="I9" authorId="0" shapeId="0" xr:uid="{4BDDA4A2-8F35-462C-9F5F-A21839B3AD5C}">
      <text>
        <r>
          <rPr>
            <b/>
            <sz val="10"/>
            <color indexed="81"/>
            <rFont val="Tahoma"/>
            <family val="2"/>
          </rPr>
          <t xml:space="preserve">replacement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<sst xmlns="http://schemas.openxmlformats.org/spreadsheetml/2006/main" count="2069" uniqueCount="418">
  <si>
    <t>GREIGE BOOKING</t>
  </si>
  <si>
    <t>OC No.</t>
  </si>
  <si>
    <t>OC Date</t>
  </si>
  <si>
    <t>Product</t>
  </si>
  <si>
    <t>CUSTOMER DESIGN</t>
  </si>
  <si>
    <t>CUS COLOR</t>
  </si>
  <si>
    <t>QTY</t>
  </si>
  <si>
    <t>UOM</t>
  </si>
  <si>
    <t>OCDate</t>
  </si>
  <si>
    <t>Customer PO</t>
  </si>
  <si>
    <t>CODE COLOR</t>
  </si>
  <si>
    <t>ORDER</t>
  </si>
  <si>
    <t>ST-2200017</t>
  </si>
  <si>
    <t>204933AA</t>
  </si>
  <si>
    <t>Greige</t>
  </si>
  <si>
    <t>YDS</t>
  </si>
  <si>
    <t>OC-2200083</t>
  </si>
  <si>
    <t>254933AA/11</t>
  </si>
  <si>
    <t>soft lilac</t>
  </si>
  <si>
    <t>24K-5062L</t>
  </si>
  <si>
    <t>OC-2200170</t>
  </si>
  <si>
    <t>Black</t>
  </si>
  <si>
    <t>12K-9221S</t>
  </si>
  <si>
    <t>OC-2200252</t>
  </si>
  <si>
    <t>Medieval Blue</t>
  </si>
  <si>
    <t>12K-6337D</t>
  </si>
  <si>
    <t>OC-2200380</t>
  </si>
  <si>
    <t>cafe au lait</t>
  </si>
  <si>
    <t>24K-2215L</t>
  </si>
  <si>
    <t>OC-2200444</t>
  </si>
  <si>
    <t>White</t>
  </si>
  <si>
    <t>24K-1042W</t>
  </si>
  <si>
    <t>OC-2200445</t>
  </si>
  <si>
    <t>20008649-1</t>
  </si>
  <si>
    <t>QUIET SHADE</t>
  </si>
  <si>
    <t>24K-8047M</t>
  </si>
  <si>
    <t>OC-2200534</t>
  </si>
  <si>
    <t>cafe</t>
  </si>
  <si>
    <t>24K-2200L</t>
  </si>
  <si>
    <t>OC-2200535</t>
  </si>
  <si>
    <t>20008728-1</t>
  </si>
  <si>
    <t>OC-2200666</t>
  </si>
  <si>
    <t>Power Pink</t>
  </si>
  <si>
    <t>24K-4045L</t>
  </si>
  <si>
    <t>OC-2200754</t>
  </si>
  <si>
    <t>OC-2200879</t>
  </si>
  <si>
    <t>OC-2201060</t>
  </si>
  <si>
    <t>café</t>
  </si>
  <si>
    <t>ST-2200061</t>
  </si>
  <si>
    <t>OC-2201247</t>
  </si>
  <si>
    <t>OC-2201308</t>
  </si>
  <si>
    <t>OC-2201456</t>
  </si>
  <si>
    <t>OC-2201524</t>
  </si>
  <si>
    <t>OC-2300063</t>
  </si>
  <si>
    <t>OC-2300079</t>
  </si>
  <si>
    <t>OC-2300080</t>
  </si>
  <si>
    <t>20010082-1</t>
  </si>
  <si>
    <t>OC-2300141</t>
  </si>
  <si>
    <t>Cafe au lait</t>
  </si>
  <si>
    <t>OC-2300220</t>
  </si>
  <si>
    <t>OC-2300295</t>
  </si>
  <si>
    <t>QSD (quiet shade)</t>
  </si>
  <si>
    <t>24K-8096M</t>
  </si>
  <si>
    <t>OC-2300409</t>
  </si>
  <si>
    <t>OC-2300449</t>
  </si>
  <si>
    <t>OC-2300450</t>
  </si>
  <si>
    <t>20010638-1</t>
  </si>
  <si>
    <t>Light Blue</t>
  </si>
  <si>
    <t>24K-6071L</t>
  </si>
  <si>
    <t>OC-2300503</t>
  </si>
  <si>
    <t>ST-2300034</t>
  </si>
  <si>
    <t>OC-2300504</t>
  </si>
  <si>
    <t>20010736-1</t>
  </si>
  <si>
    <t>OC-2300597</t>
  </si>
  <si>
    <t>OC-2300718</t>
  </si>
  <si>
    <t>Mocha</t>
  </si>
  <si>
    <t>24K-2049M</t>
  </si>
  <si>
    <t>ST-2300062</t>
  </si>
  <si>
    <t>OC-2300859</t>
  </si>
  <si>
    <t>OC-2300957</t>
  </si>
  <si>
    <t>OC-2300979</t>
  </si>
  <si>
    <t>café au lait</t>
  </si>
  <si>
    <t>OC-2301049</t>
  </si>
  <si>
    <t>POS POSEIDON</t>
  </si>
  <si>
    <t>24K-6216S</t>
  </si>
  <si>
    <t>ST-2300075</t>
  </si>
  <si>
    <t>OC-2301163</t>
  </si>
  <si>
    <t>OC-2301203</t>
  </si>
  <si>
    <t>OC-2301238</t>
  </si>
  <si>
    <t>OC-2301262</t>
  </si>
  <si>
    <t>OC-2400268</t>
  </si>
  <si>
    <t>Ultramarine</t>
  </si>
  <si>
    <t>24K-6019M</t>
  </si>
  <si>
    <t>ST-2400036</t>
  </si>
  <si>
    <t>OC-2400313</t>
  </si>
  <si>
    <t>OC-2400334</t>
  </si>
  <si>
    <t>OC-2400464</t>
  </si>
  <si>
    <t>SIL SILVER</t>
  </si>
  <si>
    <t>24K-8121M</t>
  </si>
  <si>
    <t>OC-2400467</t>
  </si>
  <si>
    <t xml:space="preserve">ST-2400057 </t>
  </si>
  <si>
    <t>OC-2400505</t>
  </si>
  <si>
    <t>OC-2400565</t>
  </si>
  <si>
    <t>OC-2400615</t>
  </si>
  <si>
    <t>OC-2400649</t>
  </si>
  <si>
    <t>ST-2400087</t>
  </si>
  <si>
    <t>OC-2400680</t>
  </si>
  <si>
    <t>OC-2400781</t>
  </si>
  <si>
    <t>OC-2400977</t>
  </si>
  <si>
    <t>ST-2400113</t>
  </si>
  <si>
    <t>ST-2200011</t>
  </si>
  <si>
    <t>OC-2200280</t>
  </si>
  <si>
    <t>255789AA/11</t>
  </si>
  <si>
    <t>24K-2249D</t>
  </si>
  <si>
    <t>Bleached Mauve</t>
  </si>
  <si>
    <t>24K-4205M</t>
  </si>
  <si>
    <t>OC-2200442</t>
  </si>
  <si>
    <t>24K-9081B</t>
  </si>
  <si>
    <t>ST-2200063</t>
  </si>
  <si>
    <t>OC-2201008</t>
  </si>
  <si>
    <t>ST-2300003</t>
  </si>
  <si>
    <t>Grige</t>
  </si>
  <si>
    <t>Cafe</t>
  </si>
  <si>
    <t>24K-2370M</t>
  </si>
  <si>
    <t>OC-2300752</t>
  </si>
  <si>
    <t xml:space="preserve">ST-2300058 </t>
  </si>
  <si>
    <t>OC-2401097</t>
  </si>
  <si>
    <t>CAFE</t>
  </si>
  <si>
    <t>ST-2200062</t>
  </si>
  <si>
    <t>254555AA/11</t>
  </si>
  <si>
    <t>24K-2186L</t>
  </si>
  <si>
    <t>24K-9074S</t>
  </si>
  <si>
    <t>Jade</t>
  </si>
  <si>
    <t>24K-7068L</t>
  </si>
  <si>
    <t>OC-2300252</t>
  </si>
  <si>
    <t>OC-2300474</t>
  </si>
  <si>
    <t>Jadeite</t>
  </si>
  <si>
    <t>OC-2300808</t>
  </si>
  <si>
    <t>OC-2300830</t>
  </si>
  <si>
    <t>OC-2300881</t>
  </si>
  <si>
    <t>OC-2400399</t>
  </si>
  <si>
    <t>OC-2400874</t>
  </si>
  <si>
    <t>TTL order</t>
  </si>
  <si>
    <t>ST-2300037</t>
  </si>
  <si>
    <t>257145AA/10</t>
  </si>
  <si>
    <t>24K-2398M</t>
  </si>
  <si>
    <t>24K-9120S</t>
  </si>
  <si>
    <t>24K-1071W</t>
  </si>
  <si>
    <t>OC-2400448</t>
  </si>
  <si>
    <t>OC-2400555</t>
  </si>
  <si>
    <t>OC-2400650</t>
  </si>
  <si>
    <t>ST-2400072</t>
  </si>
  <si>
    <t>OC-2400810</t>
  </si>
  <si>
    <t>ST-2400120</t>
  </si>
  <si>
    <t>ST-2400047</t>
  </si>
  <si>
    <t>SAP-636BB</t>
  </si>
  <si>
    <t>GREIGE</t>
  </si>
  <si>
    <t>SAP-636BB/90</t>
  </si>
  <si>
    <t>24K-2423D</t>
  </si>
  <si>
    <t>24K-8120D</t>
  </si>
  <si>
    <t>24K-1082W</t>
  </si>
  <si>
    <t>ST-2400114</t>
  </si>
  <si>
    <t>OC-2401067</t>
  </si>
  <si>
    <t>OC-2401158</t>
  </si>
  <si>
    <t>OC-2401201</t>
  </si>
  <si>
    <t>OC-2401240</t>
  </si>
  <si>
    <t>Yield 3.08</t>
  </si>
  <si>
    <t>Total Order</t>
  </si>
  <si>
    <t>Balances Qty.</t>
  </si>
  <si>
    <t>Article</t>
  </si>
  <si>
    <t>OC-2401288</t>
  </si>
  <si>
    <t>OC-2401371</t>
  </si>
  <si>
    <t>OC-2401281</t>
  </si>
  <si>
    <t>BLU Medieval Blue</t>
  </si>
  <si>
    <t>24K-6244S</t>
  </si>
  <si>
    <t>-</t>
  </si>
  <si>
    <t>Yield 2.31</t>
  </si>
  <si>
    <t>84% Cotton Compact, 16% Spandex</t>
  </si>
  <si>
    <t>Product :</t>
  </si>
  <si>
    <t>Composition :</t>
  </si>
  <si>
    <t>87% PES, 13% ELASTANE</t>
  </si>
  <si>
    <t>60% PA, 40% ELASTANE</t>
  </si>
  <si>
    <t>100% PES</t>
  </si>
  <si>
    <t>Design</t>
  </si>
  <si>
    <t>Balances Greige (mt.)</t>
  </si>
  <si>
    <t>Date</t>
  </si>
  <si>
    <t>Remark</t>
  </si>
  <si>
    <t>OC-2401411</t>
  </si>
  <si>
    <t>OC-2500004</t>
  </si>
  <si>
    <t>BPP BLACK PUM</t>
  </si>
  <si>
    <t>24K-5164D</t>
  </si>
  <si>
    <t>POLKA DOT PRINT ON 2390</t>
  </si>
  <si>
    <t>OC-2500124</t>
  </si>
  <si>
    <t>OC-2500125</t>
  </si>
  <si>
    <t>OC-2500183</t>
  </si>
  <si>
    <t>OC-2500099</t>
  </si>
  <si>
    <t>OC-2500271</t>
  </si>
  <si>
    <t>OC-2500272</t>
  </si>
  <si>
    <t>ST-2500001</t>
  </si>
  <si>
    <t>ST-2500034</t>
  </si>
  <si>
    <t>OC-2500234</t>
  </si>
  <si>
    <t>CAF CAFE</t>
  </si>
  <si>
    <t>OC-2500337</t>
  </si>
  <si>
    <t>OC-2500361</t>
  </si>
  <si>
    <t>OC-2500362</t>
  </si>
  <si>
    <t>OC-2500294</t>
  </si>
  <si>
    <t>OC-2500321</t>
  </si>
  <si>
    <t>WHT WHITE</t>
  </si>
  <si>
    <t xml:space="preserve">ST-2500051 </t>
  </si>
  <si>
    <t>ST-2500069</t>
  </si>
  <si>
    <t>OC-2500470</t>
  </si>
  <si>
    <t>BLK BLACK</t>
  </si>
  <si>
    <t>OC-2500521</t>
  </si>
  <si>
    <t>OC-2500522</t>
  </si>
  <si>
    <t>OC-2500463</t>
  </si>
  <si>
    <t>CFL CAFE AU LAIT</t>
  </si>
  <si>
    <t>24K-2433M</t>
  </si>
  <si>
    <t>Glamorise design#</t>
  </si>
  <si>
    <t>Running item, no booking</t>
  </si>
  <si>
    <t>ST-2500076</t>
  </si>
  <si>
    <t>OC-2500571</t>
  </si>
  <si>
    <t>OC-2500628</t>
  </si>
  <si>
    <t>OC-2500681</t>
  </si>
  <si>
    <t>257145AA/25</t>
  </si>
  <si>
    <t>24K-2468M</t>
  </si>
  <si>
    <t>OC-2500745</t>
  </si>
  <si>
    <t>OC-2500812</t>
  </si>
  <si>
    <t>OC-2500813</t>
  </si>
  <si>
    <t>24K-9143S</t>
  </si>
  <si>
    <t>SAP-636CB/90</t>
  </si>
  <si>
    <t>1419_SAP-636BB/90</t>
  </si>
  <si>
    <t>2245_254555AA/11</t>
  </si>
  <si>
    <t>24K-2470M</t>
  </si>
  <si>
    <t>ST-2500158</t>
  </si>
  <si>
    <t>CAF CAFÉ</t>
  </si>
  <si>
    <t>30K-2327L</t>
  </si>
  <si>
    <r>
      <t>257145AA</t>
    </r>
    <r>
      <rPr>
        <sz val="10"/>
        <color rgb="FF00B050"/>
        <rFont val="Yu Gothic"/>
        <family val="2"/>
      </rPr>
      <t>/25</t>
    </r>
  </si>
  <si>
    <r>
      <t>1428_SAP-636</t>
    </r>
    <r>
      <rPr>
        <b/>
        <sz val="10"/>
        <color rgb="FFFF0000"/>
        <rFont val="Yu Gothic"/>
        <family val="2"/>
      </rPr>
      <t>CB</t>
    </r>
    <r>
      <rPr>
        <b/>
        <sz val="10"/>
        <color rgb="FF0070C0"/>
        <rFont val="Yu Gothic"/>
        <family val="2"/>
      </rPr>
      <t>/90</t>
    </r>
  </si>
  <si>
    <t>SAP-636CB</t>
  </si>
  <si>
    <t>ETH#PO-250206 &gt;&gt; GMK #SO-2500278</t>
  </si>
  <si>
    <t>2943_IAY-076AA/11</t>
  </si>
  <si>
    <t>80% Polyester, 20% Cotton</t>
  </si>
  <si>
    <t>IAY-076AA/11</t>
  </si>
  <si>
    <r>
      <t>SAP-636</t>
    </r>
    <r>
      <rPr>
        <sz val="10"/>
        <color rgb="FFFF0000"/>
        <rFont val="Yu Gothic"/>
        <family val="2"/>
      </rPr>
      <t>CB</t>
    </r>
    <r>
      <rPr>
        <sz val="10"/>
        <color theme="1"/>
        <rFont val="Yu Gothic"/>
        <family val="2"/>
      </rPr>
      <t>/90</t>
    </r>
  </si>
  <si>
    <t>ST-2500177</t>
  </si>
  <si>
    <t>IAY-076AA</t>
  </si>
  <si>
    <t>2943/2944</t>
  </si>
  <si>
    <t>OC-2500917</t>
  </si>
  <si>
    <t>OC-2500918</t>
  </si>
  <si>
    <t>SHG SHADOW GREY</t>
  </si>
  <si>
    <t>24K-1096W</t>
  </si>
  <si>
    <t>ST-2500115</t>
  </si>
  <si>
    <t>OC-2500973</t>
  </si>
  <si>
    <t>OC-2500971</t>
  </si>
  <si>
    <t>30K-9275S</t>
  </si>
  <si>
    <t>BLU MEDIEVAL BLUE</t>
  </si>
  <si>
    <t>30K-6320S</t>
  </si>
  <si>
    <t>30K-1127W</t>
  </si>
  <si>
    <t>OC-2500972</t>
  </si>
  <si>
    <t>OC-2500987</t>
  </si>
  <si>
    <t>OC-2500974</t>
  </si>
  <si>
    <t>OC-2501007</t>
  </si>
  <si>
    <t>30K-2331L</t>
  </si>
  <si>
    <t>OC-2501029</t>
  </si>
  <si>
    <t>OC-2501056</t>
  </si>
  <si>
    <t>OC-2500955</t>
  </si>
  <si>
    <t>OC-2500953</t>
  </si>
  <si>
    <t>30K-9274B</t>
  </si>
  <si>
    <t>OC-2500954</t>
  </si>
  <si>
    <t>ST-2500207</t>
  </si>
  <si>
    <t>IAY-077AA/11</t>
  </si>
  <si>
    <t>ST-2500209</t>
  </si>
  <si>
    <t>2975_IAY-077AA/11</t>
  </si>
  <si>
    <t>OC-2501118</t>
  </si>
  <si>
    <t>OC-2501119</t>
  </si>
  <si>
    <t>OC-2501104</t>
  </si>
  <si>
    <t>OC-2501147</t>
  </si>
  <si>
    <t>OC-2501160</t>
  </si>
  <si>
    <t>OC-2501138</t>
  </si>
  <si>
    <t>OC-2501179</t>
  </si>
  <si>
    <t>OC-2501180</t>
  </si>
  <si>
    <t>24K-2493M</t>
  </si>
  <si>
    <t>ST-2500151</t>
  </si>
  <si>
    <t>OC-2501223</t>
  </si>
  <si>
    <t>OC-2501224</t>
  </si>
  <si>
    <t>(USE STOCK)</t>
  </si>
  <si>
    <t>OC-2501240</t>
  </si>
  <si>
    <t>OC-2501294</t>
  </si>
  <si>
    <t>OC-2501293</t>
  </si>
  <si>
    <t>OC-2501352</t>
  </si>
  <si>
    <t>OC-2501353</t>
  </si>
  <si>
    <t>ST-2600001</t>
  </si>
  <si>
    <t>WHITE</t>
  </si>
  <si>
    <t>OC-2600018</t>
  </si>
  <si>
    <t>(ST-2600007)</t>
  </si>
  <si>
    <t>ST-2600005</t>
  </si>
  <si>
    <t xml:space="preserve">OC-2600042 </t>
  </si>
  <si>
    <t>CAFÉ AU LAIT</t>
  </si>
  <si>
    <t>OC-2600135</t>
  </si>
  <si>
    <t>OC-2600182</t>
  </si>
  <si>
    <t>OC-2600180</t>
  </si>
  <si>
    <t>OC-2600183</t>
  </si>
  <si>
    <t>OC-2600136</t>
  </si>
  <si>
    <t>OC-2600184</t>
  </si>
  <si>
    <t>OC-2600200</t>
  </si>
  <si>
    <t>ST-2600026</t>
  </si>
  <si>
    <t>OC-2600231</t>
  </si>
  <si>
    <t>OC-2600232</t>
  </si>
  <si>
    <t xml:space="preserve">yarn arrived 16/2 Knitting 20/2-23/3 </t>
  </si>
  <si>
    <t xml:space="preserve"> Knitting 23/3-30/4</t>
  </si>
  <si>
    <t>ST-2600029</t>
  </si>
  <si>
    <t>IAY-077AA</t>
  </si>
  <si>
    <t>OC-2600272</t>
  </si>
  <si>
    <t>OC-2600273</t>
  </si>
  <si>
    <t>(ST-2600041)</t>
  </si>
  <si>
    <t>(ST-2600062)</t>
  </si>
  <si>
    <t>OC-2600313</t>
  </si>
  <si>
    <t>ST-2600041</t>
  </si>
  <si>
    <t>OC-2600336</t>
  </si>
  <si>
    <t>OC-2600337</t>
  </si>
  <si>
    <t>ST-2600047</t>
  </si>
  <si>
    <t>ST-2600048</t>
  </si>
  <si>
    <t>OC-2600366</t>
  </si>
  <si>
    <t>30K-8175M</t>
  </si>
  <si>
    <t>IAY-078AA/11</t>
  </si>
  <si>
    <t>SILVER</t>
  </si>
  <si>
    <t>OC-2600373</t>
  </si>
  <si>
    <t>30K-2330L</t>
  </si>
  <si>
    <t>OC-2600392</t>
  </si>
  <si>
    <t>OC-2600393</t>
  </si>
  <si>
    <t>OC-2600394</t>
  </si>
  <si>
    <t>OC-2600419</t>
  </si>
  <si>
    <t>OC-2600420</t>
  </si>
  <si>
    <t>OC-2600421</t>
  </si>
  <si>
    <t>(ST-2600096)</t>
  </si>
  <si>
    <t>(knitting 25/5/26-27/5/2026)</t>
  </si>
  <si>
    <t>24K-9159B</t>
  </si>
  <si>
    <t>OC-2600446</t>
  </si>
  <si>
    <t>CAFÉ</t>
  </si>
  <si>
    <t>knitting 30/4-30/5</t>
  </si>
  <si>
    <t xml:space="preserve"> knitting 30/4-30/5</t>
  </si>
  <si>
    <t>Knitting end 30/4/2026</t>
  </si>
  <si>
    <t>30K-1136W</t>
  </si>
  <si>
    <t>no greige booking</t>
  </si>
  <si>
    <t>BLACK</t>
  </si>
  <si>
    <t>OC-2600479</t>
  </si>
  <si>
    <t>OC-2600476</t>
  </si>
  <si>
    <t>2230_257156AA/11</t>
  </si>
  <si>
    <t>257156AA/11</t>
  </si>
  <si>
    <t>100% Pre-consumer Recycled Polyamide</t>
  </si>
  <si>
    <t>30K-1144W</t>
  </si>
  <si>
    <t>30K-2338L</t>
  </si>
  <si>
    <t>24K-8151M</t>
  </si>
  <si>
    <t>24K-9157S</t>
  </si>
  <si>
    <t>OC-2600480</t>
  </si>
  <si>
    <t>OC-2600499</t>
  </si>
  <si>
    <t>OC-2600498</t>
  </si>
  <si>
    <t>24K-1099W</t>
  </si>
  <si>
    <t>OC-2600500</t>
  </si>
  <si>
    <t>24K-2528D</t>
  </si>
  <si>
    <t>30K-2352L</t>
  </si>
  <si>
    <t>OC-2600518</t>
  </si>
  <si>
    <t>Running item with other customer, no booking</t>
  </si>
  <si>
    <t>7/4 ST-2600047, 29/5 ST-2600070</t>
  </si>
  <si>
    <t>ST-2600070</t>
  </si>
  <si>
    <t>OC-2600542</t>
  </si>
  <si>
    <t>24K-2531D</t>
  </si>
  <si>
    <t>OC-2600543</t>
  </si>
  <si>
    <t>OC-2600544</t>
  </si>
  <si>
    <t>(ST-2600118)</t>
  </si>
  <si>
    <t>(wait new yarn arrived 15/6/2026,finished 7July</t>
  </si>
  <si>
    <t>OC-2600447</t>
  </si>
  <si>
    <t>ST-2600074</t>
  </si>
  <si>
    <r>
      <t xml:space="preserve">26/2/26 ST-2600026, 27/3/26ST-2600041, 7/4/26 ST-2600046, </t>
    </r>
    <r>
      <rPr>
        <b/>
        <sz val="10"/>
        <color rgb="FFFF0000"/>
        <rFont val="Yu Gothic"/>
        <family val="2"/>
      </rPr>
      <t>ETH booking 12,000, ST-2600074=12,000</t>
    </r>
  </si>
  <si>
    <t>OC-2600545</t>
  </si>
  <si>
    <t>OC-2600622</t>
  </si>
  <si>
    <t>24K-1100W</t>
  </si>
  <si>
    <t>OC-2600623</t>
  </si>
  <si>
    <t>(knitting 17/6/25-27/6/26)</t>
  </si>
  <si>
    <t>OC-2600645</t>
  </si>
  <si>
    <t>OC-2600646</t>
  </si>
  <si>
    <t>24K-9163S</t>
  </si>
  <si>
    <t>30K-2356L</t>
  </si>
  <si>
    <t>OC-2600652</t>
  </si>
  <si>
    <t>OC-2600678</t>
  </si>
  <si>
    <t>ST-2600087</t>
  </si>
  <si>
    <t>30/6 ST-2600087</t>
  </si>
  <si>
    <t>29/5 ST-2600070, 30/9 ST-2600088</t>
  </si>
  <si>
    <r>
      <t xml:space="preserve">13/3/25 ST-2500051, </t>
    </r>
    <r>
      <rPr>
        <b/>
        <sz val="10"/>
        <color rgb="FFFF0000"/>
        <rFont val="Yu Gothic"/>
        <family val="2"/>
      </rPr>
      <t>30/6 ST-2600087</t>
    </r>
  </si>
  <si>
    <t>IAY-077A</t>
  </si>
  <si>
    <t>(ST-2600146 GMK)</t>
  </si>
  <si>
    <t>(ST-2600145 GMK)</t>
  </si>
  <si>
    <t>OC-2600644</t>
  </si>
  <si>
    <t>ST-2600088</t>
  </si>
  <si>
    <t>(Internal booking)</t>
  </si>
  <si>
    <t>OC-2600697</t>
  </si>
  <si>
    <t>24K-1102W</t>
  </si>
  <si>
    <t>OC-2600698</t>
  </si>
  <si>
    <t>OC-2600699</t>
  </si>
  <si>
    <t>OC-2600738</t>
  </si>
  <si>
    <t>Café</t>
  </si>
  <si>
    <t>24K-2537M</t>
  </si>
  <si>
    <t>OC-2600739</t>
  </si>
  <si>
    <t>OC-2600786</t>
  </si>
  <si>
    <t>OC-2600788</t>
  </si>
  <si>
    <t>OC-2600817</t>
  </si>
  <si>
    <t>24K-8140M</t>
  </si>
  <si>
    <t>OC-2600816</t>
  </si>
  <si>
    <t>OC-2600830</t>
  </si>
  <si>
    <t>OC-2600860</t>
  </si>
  <si>
    <t xml:space="preserve">Balance greige </t>
  </si>
  <si>
    <t>Greige ready</t>
  </si>
  <si>
    <t>yards</t>
  </si>
  <si>
    <t>Greige pending</t>
  </si>
  <si>
    <t>Greige ready knited</t>
  </si>
  <si>
    <t>OC-2600647</t>
  </si>
  <si>
    <t>ST-2600055</t>
  </si>
  <si>
    <r>
      <t xml:space="preserve">13/3/26 ST-2600029, </t>
    </r>
    <r>
      <rPr>
        <b/>
        <sz val="10"/>
        <color rgb="FFFF0000"/>
        <rFont val="Yu Gothic"/>
        <family val="2"/>
      </rPr>
      <t>ETH booking 3000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</si>
</sst>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/mmm/yy;@"/>
    <numFmt numFmtId="166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Yu Gothic"/>
      <family val="2"/>
    </font>
    <font>
      <sz val="10"/>
      <color rgb="FF0070C0"/>
      <name val="Yu Gothic"/>
      <family val="2"/>
    </font>
    <font>
      <b/>
      <sz val="10"/>
      <name val="Yu Gothic"/>
      <family val="2"/>
    </font>
    <font>
      <sz val="10"/>
      <color rgb="FFFF0000"/>
      <name val="Yu Gothic"/>
      <family val="2"/>
    </font>
    <font>
      <sz val="10"/>
      <name val="Yu Gothic"/>
      <family val="2"/>
    </font>
    <font>
      <b/>
      <sz val="10"/>
      <color rgb="FF0070C0"/>
      <name val="Yu Gothic"/>
      <family val="2"/>
    </font>
    <font>
      <b/>
      <sz val="10"/>
      <color theme="1"/>
      <name val="Yu Gothic"/>
      <family val="2"/>
    </font>
    <font>
      <b/>
      <sz val="10"/>
      <color rgb="FFFF0000"/>
      <name val="Yu Gothic"/>
      <family val="2"/>
    </font>
    <font>
      <sz val="10"/>
      <color rgb="FF3333CC"/>
      <name val="Yu Gothic"/>
      <family val="2"/>
    </font>
    <font>
      <sz val="10"/>
      <color rgb="FF00B050"/>
      <name val="Yu Gothic"/>
      <family val="2"/>
    </font>
    <font>
      <sz val="10"/>
      <color rgb="FFC00000"/>
      <name val="Yu Gothic"/>
      <family val="2"/>
    </font>
    <font>
      <sz val="8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8" tint="-0.499984740745262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14"/>
      <color rgb="FF3333CC"/>
      <name val="Yu Gothic"/>
      <family val="2"/>
    </font>
    <font>
      <sz val="12"/>
      <color rgb="FF3333CC"/>
      <name val="Yu Gothic"/>
      <family val="2"/>
    </font>
    <font>
      <sz val="12"/>
      <name val="Yu Gothic"/>
      <family val="2"/>
    </font>
    <font>
      <sz val="10"/>
      <color theme="8" tint="-0.249977111117893"/>
      <name val="Calibri"/>
      <family val="2"/>
    </font>
    <font>
      <sz val="10"/>
      <color rgb="FF1F497D"/>
      <name val="Calibri"/>
      <family val="2"/>
    </font>
    <font>
      <sz val="16"/>
      <color theme="1"/>
      <name val="Yu Gothic"/>
      <family val="2"/>
    </font>
    <font>
      <b/>
      <sz val="16"/>
      <color theme="1"/>
      <name val="Yu Gothic"/>
      <family val="2"/>
    </font>
    <font>
      <b/>
      <sz val="16"/>
      <color rgb="FF7030A0"/>
      <name val="Yu Gothic"/>
      <family val="2"/>
    </font>
    <font>
      <b/>
      <sz val="16"/>
      <color rgb="FFFF0000"/>
      <name val="Yu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auto="1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dashed">
        <color indexed="64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auto="1"/>
      </right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2">
    <xf numFmtId="0" fontId="0" fillId="0" borderId="0" xfId="0"/>
    <xf numFmtId="0" fontId="2" fillId="2" borderId="0" xfId="0" applyFont="1" applyFill="1"/>
    <xf numFmtId="165" fontId="7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166" fontId="2" fillId="2" borderId="0" xfId="1" applyNumberFormat="1" applyFont="1" applyFill="1"/>
    <xf numFmtId="0" fontId="8" fillId="2" borderId="1" xfId="0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6" fillId="0" borderId="14" xfId="0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vertical="center"/>
    </xf>
    <xf numFmtId="3" fontId="6" fillId="0" borderId="15" xfId="0" applyNumberFormat="1" applyFont="1" applyFill="1" applyBorder="1" applyAlignment="1">
      <alignment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vertical="center"/>
    </xf>
    <xf numFmtId="14" fontId="6" fillId="0" borderId="15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vertical="center"/>
    </xf>
    <xf numFmtId="3" fontId="6" fillId="0" borderId="15" xfId="0" applyNumberFormat="1" applyFont="1" applyFill="1" applyBorder="1" applyAlignment="1">
      <alignment vertical="center" wrapText="1"/>
    </xf>
    <xf numFmtId="0" fontId="6" fillId="0" borderId="16" xfId="0" applyFont="1" applyFill="1" applyBorder="1" applyAlignment="1">
      <alignment horizontal="center" vertical="center" wrapText="1"/>
    </xf>
    <xf numFmtId="166" fontId="2" fillId="0" borderId="14" xfId="1" applyNumberFormat="1" applyFont="1" applyFill="1" applyBorder="1" applyAlignment="1">
      <alignment vertical="center"/>
    </xf>
    <xf numFmtId="166" fontId="2" fillId="0" borderId="64" xfId="1" applyNumberFormat="1" applyFont="1" applyFill="1" applyBorder="1" applyAlignment="1">
      <alignment vertical="center"/>
    </xf>
    <xf numFmtId="0" fontId="6" fillId="2" borderId="35" xfId="0" applyFont="1" applyFill="1" applyBorder="1" applyAlignment="1">
      <alignment horizontal="center" vertical="center"/>
    </xf>
    <xf numFmtId="165" fontId="6" fillId="2" borderId="36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vertical="center"/>
    </xf>
    <xf numFmtId="3" fontId="6" fillId="2" borderId="36" xfId="0" applyNumberFormat="1" applyFont="1" applyFill="1" applyBorder="1" applyAlignment="1">
      <alignment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vertical="center"/>
    </xf>
    <xf numFmtId="14" fontId="6" fillId="2" borderId="36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3" fontId="6" fillId="2" borderId="36" xfId="0" applyNumberFormat="1" applyFont="1" applyFill="1" applyBorder="1" applyAlignment="1">
      <alignment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/>
    </xf>
    <xf numFmtId="165" fontId="2" fillId="2" borderId="42" xfId="0" applyNumberFormat="1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vertical="center"/>
    </xf>
    <xf numFmtId="3" fontId="8" fillId="2" borderId="42" xfId="0" applyNumberFormat="1" applyFont="1" applyFill="1" applyBorder="1" applyAlignment="1">
      <alignment vertical="center"/>
    </xf>
    <xf numFmtId="0" fontId="8" fillId="2" borderId="34" xfId="0" applyFont="1" applyFill="1" applyBorder="1" applyAlignment="1">
      <alignment horizontal="center" vertical="center"/>
    </xf>
    <xf numFmtId="0" fontId="2" fillId="2" borderId="41" xfId="0" applyFont="1" applyFill="1" applyBorder="1"/>
    <xf numFmtId="0" fontId="2" fillId="2" borderId="42" xfId="0" applyFont="1" applyFill="1" applyBorder="1" applyAlignment="1">
      <alignment horizontal="center"/>
    </xf>
    <xf numFmtId="0" fontId="2" fillId="2" borderId="42" xfId="0" applyFont="1" applyFill="1" applyBorder="1"/>
    <xf numFmtId="3" fontId="8" fillId="2" borderId="42" xfId="0" applyNumberFormat="1" applyFont="1" applyFill="1" applyBorder="1"/>
    <xf numFmtId="0" fontId="8" fillId="2" borderId="34" xfId="0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3" fontId="2" fillId="3" borderId="9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14" fontId="6" fillId="3" borderId="12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166" fontId="8" fillId="3" borderId="0" xfId="1" applyNumberFormat="1" applyFont="1" applyFill="1" applyBorder="1" applyAlignment="1">
      <alignment horizontal="center" vertical="center"/>
    </xf>
    <xf numFmtId="166" fontId="8" fillId="3" borderId="27" xfId="1" applyNumberFormat="1" applyFont="1" applyFill="1" applyBorder="1" applyAlignment="1">
      <alignment horizontal="center" vertical="center"/>
    </xf>
    <xf numFmtId="0" fontId="2" fillId="3" borderId="14" xfId="0" applyFont="1" applyFill="1" applyBorder="1"/>
    <xf numFmtId="165" fontId="2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/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vertical="center"/>
    </xf>
    <xf numFmtId="14" fontId="6" fillId="3" borderId="18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horizontal="center" vertical="center"/>
    </xf>
    <xf numFmtId="166" fontId="2" fillId="3" borderId="0" xfId="1" applyNumberFormat="1" applyFont="1" applyFill="1" applyBorder="1"/>
    <xf numFmtId="166" fontId="2" fillId="3" borderId="27" xfId="1" applyNumberFormat="1" applyFont="1" applyFill="1" applyBorder="1"/>
    <xf numFmtId="166" fontId="2" fillId="3" borderId="15" xfId="1" applyNumberFormat="1" applyFont="1" applyFill="1" applyBorder="1"/>
    <xf numFmtId="165" fontId="6" fillId="3" borderId="15" xfId="0" applyNumberFormat="1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/>
    <xf numFmtId="0" fontId="3" fillId="3" borderId="14" xfId="0" applyFont="1" applyFill="1" applyBorder="1"/>
    <xf numFmtId="0" fontId="3" fillId="3" borderId="14" xfId="0" applyFont="1" applyFill="1" applyBorder="1" applyAlignment="1">
      <alignment horizontal="left"/>
    </xf>
    <xf numFmtId="165" fontId="2" fillId="3" borderId="15" xfId="0" applyNumberFormat="1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166" fontId="2" fillId="3" borderId="15" xfId="1" applyNumberFormat="1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4" borderId="14" xfId="0" applyFont="1" applyFill="1" applyBorder="1"/>
    <xf numFmtId="165" fontId="6" fillId="4" borderId="15" xfId="0" applyNumberFormat="1" applyFont="1" applyFill="1" applyBorder="1" applyAlignment="1">
      <alignment horizontal="center" vertical="center"/>
    </xf>
    <xf numFmtId="0" fontId="2" fillId="4" borderId="15" xfId="0" applyFont="1" applyFill="1" applyBorder="1"/>
    <xf numFmtId="0" fontId="2" fillId="4" borderId="15" xfId="0" applyFont="1" applyFill="1" applyBorder="1" applyAlignment="1">
      <alignment horizontal="center"/>
    </xf>
    <xf numFmtId="166" fontId="2" fillId="4" borderId="15" xfId="1" applyNumberFormat="1" applyFont="1" applyFill="1" applyBorder="1" applyAlignment="1"/>
    <xf numFmtId="0" fontId="2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vertical="center"/>
    </xf>
    <xf numFmtId="14" fontId="6" fillId="4" borderId="18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vertical="center"/>
    </xf>
    <xf numFmtId="0" fontId="6" fillId="4" borderId="19" xfId="0" applyFont="1" applyFill="1" applyBorder="1" applyAlignment="1">
      <alignment horizontal="center" vertical="center"/>
    </xf>
    <xf numFmtId="166" fontId="2" fillId="4" borderId="0" xfId="1" applyNumberFormat="1" applyFont="1" applyFill="1" applyBorder="1"/>
    <xf numFmtId="166" fontId="2" fillId="4" borderId="27" xfId="1" applyNumberFormat="1" applyFont="1" applyFill="1" applyBorder="1"/>
    <xf numFmtId="0" fontId="3" fillId="4" borderId="14" xfId="0" applyFont="1" applyFill="1" applyBorder="1" applyAlignment="1">
      <alignment horizontal="left"/>
    </xf>
    <xf numFmtId="165" fontId="2" fillId="4" borderId="15" xfId="0" applyNumberFormat="1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166" fontId="2" fillId="4" borderId="15" xfId="1" applyNumberFormat="1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6" fillId="4" borderId="20" xfId="0" applyFont="1" applyFill="1" applyBorder="1" applyAlignment="1">
      <alignment vertical="center"/>
    </xf>
    <xf numFmtId="14" fontId="6" fillId="4" borderId="21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/>
    </xf>
    <xf numFmtId="165" fontId="2" fillId="5" borderId="15" xfId="0" applyNumberFormat="1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166" fontId="2" fillId="5" borderId="15" xfId="1" applyNumberFormat="1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0" fontId="6" fillId="5" borderId="20" xfId="0" applyFont="1" applyFill="1" applyBorder="1" applyAlignment="1">
      <alignment vertical="center"/>
    </xf>
    <xf numFmtId="14" fontId="6" fillId="5" borderId="21" xfId="0" applyNumberFormat="1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vertical="center"/>
    </xf>
    <xf numFmtId="0" fontId="6" fillId="5" borderId="21" xfId="0" applyFont="1" applyFill="1" applyBorder="1" applyAlignment="1">
      <alignment vertical="center"/>
    </xf>
    <xf numFmtId="0" fontId="6" fillId="5" borderId="22" xfId="0" applyFont="1" applyFill="1" applyBorder="1" applyAlignment="1">
      <alignment horizontal="center" vertical="center"/>
    </xf>
    <xf numFmtId="166" fontId="2" fillId="5" borderId="0" xfId="1" applyNumberFormat="1" applyFont="1" applyFill="1" applyBorder="1"/>
    <xf numFmtId="166" fontId="2" fillId="5" borderId="27" xfId="1" applyNumberFormat="1" applyFont="1" applyFill="1" applyBorder="1"/>
    <xf numFmtId="0" fontId="3" fillId="6" borderId="14" xfId="0" applyFont="1" applyFill="1" applyBorder="1" applyAlignment="1">
      <alignment horizontal="left"/>
    </xf>
    <xf numFmtId="165" fontId="2" fillId="6" borderId="15" xfId="0" applyNumberFormat="1" applyFont="1" applyFill="1" applyBorder="1" applyAlignment="1">
      <alignment horizontal="left"/>
    </xf>
    <xf numFmtId="0" fontId="2" fillId="6" borderId="15" xfId="0" applyFont="1" applyFill="1" applyBorder="1" applyAlignment="1">
      <alignment horizontal="left"/>
    </xf>
    <xf numFmtId="166" fontId="2" fillId="6" borderId="15" xfId="1" applyNumberFormat="1" applyFont="1" applyFill="1" applyBorder="1" applyAlignment="1">
      <alignment horizontal="left"/>
    </xf>
    <xf numFmtId="0" fontId="2" fillId="6" borderId="16" xfId="0" applyFont="1" applyFill="1" applyBorder="1" applyAlignment="1">
      <alignment horizontal="left"/>
    </xf>
    <xf numFmtId="0" fontId="6" fillId="6" borderId="20" xfId="0" applyFont="1" applyFill="1" applyBorder="1" applyAlignment="1">
      <alignment vertical="center"/>
    </xf>
    <xf numFmtId="14" fontId="6" fillId="6" borderId="21" xfId="0" applyNumberFormat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6" fillId="6" borderId="22" xfId="0" applyFont="1" applyFill="1" applyBorder="1" applyAlignment="1">
      <alignment horizontal="center" vertical="center"/>
    </xf>
    <xf numFmtId="166" fontId="2" fillId="6" borderId="0" xfId="1" applyNumberFormat="1" applyFont="1" applyFill="1" applyBorder="1"/>
    <xf numFmtId="166" fontId="2" fillId="6" borderId="27" xfId="1" applyNumberFormat="1" applyFont="1" applyFill="1" applyBorder="1"/>
    <xf numFmtId="0" fontId="3" fillId="7" borderId="14" xfId="0" applyFont="1" applyFill="1" applyBorder="1" applyAlignment="1">
      <alignment horizontal="left"/>
    </xf>
    <xf numFmtId="165" fontId="2" fillId="7" borderId="15" xfId="0" applyNumberFormat="1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166" fontId="2" fillId="7" borderId="15" xfId="1" applyNumberFormat="1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6" fillId="7" borderId="20" xfId="0" applyFont="1" applyFill="1" applyBorder="1" applyAlignment="1">
      <alignment vertical="center"/>
    </xf>
    <xf numFmtId="14" fontId="6" fillId="7" borderId="21" xfId="0" applyNumberFormat="1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6" fillId="7" borderId="22" xfId="0" applyFont="1" applyFill="1" applyBorder="1" applyAlignment="1">
      <alignment horizontal="center" vertical="center"/>
    </xf>
    <xf numFmtId="166" fontId="2" fillId="7" borderId="0" xfId="1" applyNumberFormat="1" applyFont="1" applyFill="1" applyBorder="1"/>
    <xf numFmtId="166" fontId="2" fillId="7" borderId="27" xfId="1" applyNumberFormat="1" applyFont="1" applyFill="1" applyBorder="1"/>
    <xf numFmtId="0" fontId="3" fillId="8" borderId="23" xfId="0" applyFont="1" applyFill="1" applyBorder="1" applyAlignment="1">
      <alignment horizontal="left"/>
    </xf>
    <xf numFmtId="165" fontId="2" fillId="8" borderId="24" xfId="0" applyNumberFormat="1" applyFont="1" applyFill="1" applyBorder="1" applyAlignment="1">
      <alignment horizontal="left"/>
    </xf>
    <xf numFmtId="0" fontId="2" fillId="8" borderId="24" xfId="0" applyFont="1" applyFill="1" applyBorder="1" applyAlignment="1">
      <alignment horizontal="left"/>
    </xf>
    <xf numFmtId="166" fontId="2" fillId="8" borderId="24" xfId="1" applyNumberFormat="1" applyFont="1" applyFill="1" applyBorder="1" applyAlignment="1">
      <alignment horizontal="left"/>
    </xf>
    <xf numFmtId="0" fontId="2" fillId="8" borderId="25" xfId="0" applyFont="1" applyFill="1" applyBorder="1" applyAlignment="1">
      <alignment horizontal="left"/>
    </xf>
    <xf numFmtId="0" fontId="6" fillId="8" borderId="23" xfId="0" applyFont="1" applyFill="1" applyBorder="1" applyAlignment="1">
      <alignment vertical="center"/>
    </xf>
    <xf numFmtId="14" fontId="6" fillId="8" borderId="24" xfId="0" applyNumberFormat="1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vertical="center"/>
    </xf>
    <xf numFmtId="0" fontId="6" fillId="8" borderId="25" xfId="0" applyFont="1" applyFill="1" applyBorder="1" applyAlignment="1">
      <alignment horizontal="center" vertical="center"/>
    </xf>
    <xf numFmtId="166" fontId="2" fillId="8" borderId="53" xfId="1" applyNumberFormat="1" applyFont="1" applyFill="1" applyBorder="1"/>
    <xf numFmtId="166" fontId="2" fillId="8" borderId="26" xfId="1" applyNumberFormat="1" applyFont="1" applyFill="1" applyBorder="1"/>
    <xf numFmtId="0" fontId="3" fillId="8" borderId="14" xfId="0" applyFont="1" applyFill="1" applyBorder="1" applyAlignment="1">
      <alignment horizontal="left"/>
    </xf>
    <xf numFmtId="165" fontId="2" fillId="8" borderId="15" xfId="0" applyNumberFormat="1" applyFont="1" applyFill="1" applyBorder="1" applyAlignment="1">
      <alignment horizontal="left"/>
    </xf>
    <xf numFmtId="0" fontId="2" fillId="8" borderId="15" xfId="0" applyFont="1" applyFill="1" applyBorder="1" applyAlignment="1">
      <alignment horizontal="left"/>
    </xf>
    <xf numFmtId="0" fontId="2" fillId="8" borderId="16" xfId="0" applyFont="1" applyFill="1" applyBorder="1" applyAlignment="1">
      <alignment horizontal="left"/>
    </xf>
    <xf numFmtId="0" fontId="6" fillId="8" borderId="20" xfId="0" applyFont="1" applyFill="1" applyBorder="1" applyAlignment="1">
      <alignment vertical="center"/>
    </xf>
    <xf numFmtId="14" fontId="6" fillId="8" borderId="21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vertical="center"/>
    </xf>
    <xf numFmtId="0" fontId="6" fillId="8" borderId="22" xfId="0" applyFont="1" applyFill="1" applyBorder="1" applyAlignment="1">
      <alignment horizontal="center" vertical="center"/>
    </xf>
    <xf numFmtId="166" fontId="2" fillId="8" borderId="64" xfId="1" applyNumberFormat="1" applyFont="1" applyFill="1" applyBorder="1"/>
    <xf numFmtId="166" fontId="2" fillId="8" borderId="27" xfId="1" applyNumberFormat="1" applyFont="1" applyFill="1" applyBorder="1"/>
    <xf numFmtId="166" fontId="5" fillId="8" borderId="27" xfId="1" applyNumberFormat="1" applyFont="1" applyFill="1" applyBorder="1"/>
    <xf numFmtId="0" fontId="3" fillId="8" borderId="28" xfId="0" applyFont="1" applyFill="1" applyBorder="1" applyAlignment="1">
      <alignment horizontal="left"/>
    </xf>
    <xf numFmtId="165" fontId="2" fillId="8" borderId="29" xfId="0" applyNumberFormat="1" applyFont="1" applyFill="1" applyBorder="1" applyAlignment="1">
      <alignment horizontal="left"/>
    </xf>
    <xf numFmtId="0" fontId="2" fillId="8" borderId="29" xfId="0" applyFont="1" applyFill="1" applyBorder="1" applyAlignment="1">
      <alignment horizontal="left"/>
    </xf>
    <xf numFmtId="0" fontId="2" fillId="8" borderId="30" xfId="0" applyFont="1" applyFill="1" applyBorder="1" applyAlignment="1">
      <alignment horizontal="left"/>
    </xf>
    <xf numFmtId="0" fontId="6" fillId="8" borderId="31" xfId="0" applyFont="1" applyFill="1" applyBorder="1" applyAlignment="1">
      <alignment vertical="center"/>
    </xf>
    <xf numFmtId="14" fontId="6" fillId="8" borderId="32" xfId="0" applyNumberFormat="1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vertical="center"/>
    </xf>
    <xf numFmtId="0" fontId="6" fillId="8" borderId="33" xfId="0" applyFont="1" applyFill="1" applyBorder="1" applyAlignment="1">
      <alignment horizontal="center" vertical="center"/>
    </xf>
    <xf numFmtId="166" fontId="2" fillId="8" borderId="65" xfId="1" applyNumberFormat="1" applyFont="1" applyFill="1" applyBorder="1"/>
    <xf numFmtId="166" fontId="5" fillId="8" borderId="34" xfId="1" applyNumberFormat="1" applyFont="1" applyFill="1" applyBorder="1"/>
    <xf numFmtId="0" fontId="3" fillId="5" borderId="23" xfId="0" applyFont="1" applyFill="1" applyBorder="1" applyAlignment="1">
      <alignment horizontal="left"/>
    </xf>
    <xf numFmtId="165" fontId="2" fillId="5" borderId="24" xfId="0" applyNumberFormat="1" applyFont="1" applyFill="1" applyBorder="1" applyAlignment="1">
      <alignment horizontal="left"/>
    </xf>
    <xf numFmtId="0" fontId="2" fillId="5" borderId="24" xfId="0" applyFont="1" applyFill="1" applyBorder="1" applyAlignment="1">
      <alignment horizontal="left"/>
    </xf>
    <xf numFmtId="166" fontId="2" fillId="5" borderId="24" xfId="1" applyNumberFormat="1" applyFont="1" applyFill="1" applyBorder="1" applyAlignment="1">
      <alignment horizontal="left"/>
    </xf>
    <xf numFmtId="0" fontId="2" fillId="5" borderId="25" xfId="0" applyFont="1" applyFill="1" applyBorder="1" applyAlignment="1">
      <alignment horizontal="left"/>
    </xf>
    <xf numFmtId="0" fontId="6" fillId="5" borderId="23" xfId="0" applyFont="1" applyFill="1" applyBorder="1" applyAlignment="1">
      <alignment vertical="center"/>
    </xf>
    <xf numFmtId="14" fontId="6" fillId="5" borderId="24" xfId="0" applyNumberFormat="1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horizontal="center" vertical="center"/>
    </xf>
    <xf numFmtId="166" fontId="2" fillId="5" borderId="53" xfId="1" applyNumberFormat="1" applyFont="1" applyFill="1" applyBorder="1"/>
    <xf numFmtId="166" fontId="5" fillId="5" borderId="26" xfId="1" applyNumberFormat="1" applyFont="1" applyFill="1" applyBorder="1"/>
    <xf numFmtId="166" fontId="2" fillId="5" borderId="64" xfId="1" applyNumberFormat="1" applyFont="1" applyFill="1" applyBorder="1"/>
    <xf numFmtId="166" fontId="5" fillId="5" borderId="27" xfId="1" applyNumberFormat="1" applyFont="1" applyFill="1" applyBorder="1"/>
    <xf numFmtId="0" fontId="3" fillId="5" borderId="28" xfId="0" applyFont="1" applyFill="1" applyBorder="1" applyAlignment="1">
      <alignment horizontal="left"/>
    </xf>
    <xf numFmtId="165" fontId="2" fillId="5" borderId="29" xfId="0" applyNumberFormat="1" applyFont="1" applyFill="1" applyBorder="1" applyAlignment="1">
      <alignment horizontal="left"/>
    </xf>
    <xf numFmtId="0" fontId="2" fillId="5" borderId="29" xfId="0" applyFont="1" applyFill="1" applyBorder="1" applyAlignment="1">
      <alignment horizontal="left"/>
    </xf>
    <xf numFmtId="0" fontId="2" fillId="5" borderId="30" xfId="0" applyFont="1" applyFill="1" applyBorder="1" applyAlignment="1">
      <alignment horizontal="left"/>
    </xf>
    <xf numFmtId="0" fontId="6" fillId="5" borderId="31" xfId="0" applyFont="1" applyFill="1" applyBorder="1" applyAlignment="1">
      <alignment vertical="center"/>
    </xf>
    <xf numFmtId="14" fontId="6" fillId="5" borderId="32" xfId="0" applyNumberFormat="1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vertical="center"/>
    </xf>
    <xf numFmtId="0" fontId="6" fillId="5" borderId="33" xfId="0" applyFont="1" applyFill="1" applyBorder="1" applyAlignment="1">
      <alignment horizontal="center" vertical="center"/>
    </xf>
    <xf numFmtId="166" fontId="2" fillId="5" borderId="65" xfId="1" applyNumberFormat="1" applyFont="1" applyFill="1" applyBorder="1"/>
    <xf numFmtId="166" fontId="5" fillId="5" borderId="34" xfId="1" applyNumberFormat="1" applyFont="1" applyFill="1" applyBorder="1"/>
    <xf numFmtId="0" fontId="3" fillId="4" borderId="23" xfId="0" applyFont="1" applyFill="1" applyBorder="1" applyAlignment="1">
      <alignment horizontal="left"/>
    </xf>
    <xf numFmtId="165" fontId="2" fillId="4" borderId="24" xfId="0" applyNumberFormat="1" applyFont="1" applyFill="1" applyBorder="1" applyAlignment="1">
      <alignment horizontal="left"/>
    </xf>
    <xf numFmtId="0" fontId="2" fillId="4" borderId="24" xfId="0" applyFont="1" applyFill="1" applyBorder="1" applyAlignment="1">
      <alignment horizontal="left"/>
    </xf>
    <xf numFmtId="166" fontId="2" fillId="4" borderId="24" xfId="1" applyNumberFormat="1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6" fillId="4" borderId="23" xfId="0" applyFont="1" applyFill="1" applyBorder="1" applyAlignment="1">
      <alignment vertical="center"/>
    </xf>
    <xf numFmtId="14" fontId="6" fillId="4" borderId="24" xfId="0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vertical="center"/>
    </xf>
    <xf numFmtId="0" fontId="6" fillId="4" borderId="25" xfId="0" applyFont="1" applyFill="1" applyBorder="1" applyAlignment="1">
      <alignment horizontal="center" vertical="center"/>
    </xf>
    <xf numFmtId="166" fontId="2" fillId="4" borderId="53" xfId="1" applyNumberFormat="1" applyFont="1" applyFill="1" applyBorder="1"/>
    <xf numFmtId="166" fontId="5" fillId="4" borderId="26" xfId="1" applyNumberFormat="1" applyFont="1" applyFill="1" applyBorder="1"/>
    <xf numFmtId="166" fontId="2" fillId="4" borderId="64" xfId="1" applyNumberFormat="1" applyFont="1" applyFill="1" applyBorder="1"/>
    <xf numFmtId="166" fontId="5" fillId="4" borderId="27" xfId="1" applyNumberFormat="1" applyFont="1" applyFill="1" applyBorder="1"/>
    <xf numFmtId="166" fontId="5" fillId="4" borderId="64" xfId="1" applyNumberFormat="1" applyFont="1" applyFill="1" applyBorder="1"/>
    <xf numFmtId="0" fontId="3" fillId="4" borderId="28" xfId="0" applyFont="1" applyFill="1" applyBorder="1" applyAlignment="1">
      <alignment horizontal="left"/>
    </xf>
    <xf numFmtId="165" fontId="2" fillId="4" borderId="29" xfId="0" applyNumberFormat="1" applyFont="1" applyFill="1" applyBorder="1" applyAlignment="1">
      <alignment horizontal="left"/>
    </xf>
    <xf numFmtId="0" fontId="2" fillId="4" borderId="29" xfId="0" applyFont="1" applyFill="1" applyBorder="1" applyAlignment="1">
      <alignment horizontal="left"/>
    </xf>
    <xf numFmtId="0" fontId="2" fillId="4" borderId="30" xfId="0" applyFont="1" applyFill="1" applyBorder="1" applyAlignment="1">
      <alignment horizontal="left"/>
    </xf>
    <xf numFmtId="0" fontId="6" fillId="4" borderId="31" xfId="0" applyFont="1" applyFill="1" applyBorder="1" applyAlignment="1">
      <alignment vertical="center"/>
    </xf>
    <xf numFmtId="14" fontId="6" fillId="4" borderId="32" xfId="0" applyNumberFormat="1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166" fontId="6" fillId="4" borderId="65" xfId="1" applyNumberFormat="1" applyFont="1" applyFill="1" applyBorder="1"/>
    <xf numFmtId="166" fontId="5" fillId="4" borderId="34" xfId="1" applyNumberFormat="1" applyFont="1" applyFill="1" applyBorder="1"/>
    <xf numFmtId="0" fontId="3" fillId="11" borderId="14" xfId="0" applyFont="1" applyFill="1" applyBorder="1" applyAlignment="1">
      <alignment horizontal="left"/>
    </xf>
    <xf numFmtId="165" fontId="2" fillId="11" borderId="15" xfId="0" applyNumberFormat="1" applyFont="1" applyFill="1" applyBorder="1" applyAlignment="1">
      <alignment horizontal="left"/>
    </xf>
    <xf numFmtId="0" fontId="2" fillId="11" borderId="15" xfId="0" applyFont="1" applyFill="1" applyBorder="1" applyAlignment="1">
      <alignment horizontal="left"/>
    </xf>
    <xf numFmtId="166" fontId="2" fillId="11" borderId="15" xfId="1" applyNumberFormat="1" applyFont="1" applyFill="1" applyBorder="1" applyAlignment="1">
      <alignment horizontal="right"/>
    </xf>
    <xf numFmtId="0" fontId="2" fillId="11" borderId="16" xfId="0" applyFont="1" applyFill="1" applyBorder="1" applyAlignment="1">
      <alignment horizontal="left"/>
    </xf>
    <xf numFmtId="0" fontId="6" fillId="11" borderId="14" xfId="0" applyFont="1" applyFill="1" applyBorder="1" applyAlignment="1">
      <alignment vertical="center"/>
    </xf>
    <xf numFmtId="14" fontId="6" fillId="11" borderId="15" xfId="0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vertical="center"/>
    </xf>
    <xf numFmtId="0" fontId="6" fillId="11" borderId="16" xfId="0" applyFont="1" applyFill="1" applyBorder="1" applyAlignment="1">
      <alignment horizontal="center" vertical="center"/>
    </xf>
    <xf numFmtId="166" fontId="5" fillId="11" borderId="64" xfId="1" applyNumberFormat="1" applyFont="1" applyFill="1" applyBorder="1"/>
    <xf numFmtId="166" fontId="5" fillId="11" borderId="27" xfId="1" applyNumberFormat="1" applyFont="1" applyFill="1" applyBorder="1"/>
    <xf numFmtId="0" fontId="6" fillId="11" borderId="20" xfId="0" applyFont="1" applyFill="1" applyBorder="1" applyAlignment="1">
      <alignment vertical="center"/>
    </xf>
    <xf numFmtId="14" fontId="6" fillId="11" borderId="21" xfId="0" applyNumberFormat="1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vertical="center"/>
    </xf>
    <xf numFmtId="0" fontId="6" fillId="11" borderId="22" xfId="0" applyFont="1" applyFill="1" applyBorder="1" applyAlignment="1">
      <alignment horizontal="center" vertical="center"/>
    </xf>
    <xf numFmtId="166" fontId="3" fillId="11" borderId="64" xfId="1" applyNumberFormat="1" applyFont="1" applyFill="1" applyBorder="1"/>
    <xf numFmtId="0" fontId="3" fillId="11" borderId="28" xfId="0" applyFont="1" applyFill="1" applyBorder="1" applyAlignment="1">
      <alignment horizontal="left"/>
    </xf>
    <xf numFmtId="165" fontId="2" fillId="11" borderId="29" xfId="0" applyNumberFormat="1" applyFont="1" applyFill="1" applyBorder="1" applyAlignment="1">
      <alignment horizontal="left"/>
    </xf>
    <xf numFmtId="0" fontId="2" fillId="11" borderId="29" xfId="0" applyFont="1" applyFill="1" applyBorder="1" applyAlignment="1">
      <alignment horizontal="left"/>
    </xf>
    <xf numFmtId="0" fontId="2" fillId="11" borderId="30" xfId="0" applyFont="1" applyFill="1" applyBorder="1" applyAlignment="1">
      <alignment horizontal="left"/>
    </xf>
    <xf numFmtId="0" fontId="6" fillId="11" borderId="31" xfId="0" applyFont="1" applyFill="1" applyBorder="1" applyAlignment="1">
      <alignment vertical="center"/>
    </xf>
    <xf numFmtId="14" fontId="6" fillId="11" borderId="32" xfId="0" applyNumberFormat="1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vertical="center"/>
    </xf>
    <xf numFmtId="0" fontId="6" fillId="11" borderId="33" xfId="0" applyFont="1" applyFill="1" applyBorder="1" applyAlignment="1">
      <alignment horizontal="center" vertical="center"/>
    </xf>
    <xf numFmtId="166" fontId="5" fillId="11" borderId="65" xfId="1" applyNumberFormat="1" applyFont="1" applyFill="1" applyBorder="1"/>
    <xf numFmtId="166" fontId="5" fillId="11" borderId="34" xfId="1" applyNumberFormat="1" applyFont="1" applyFill="1" applyBorder="1"/>
    <xf numFmtId="166" fontId="2" fillId="3" borderId="15" xfId="1" applyNumberFormat="1" applyFont="1" applyFill="1" applyBorder="1" applyAlignment="1">
      <alignment horizontal="right"/>
    </xf>
    <xf numFmtId="0" fontId="6" fillId="3" borderId="14" xfId="0" applyFont="1" applyFill="1" applyBorder="1" applyAlignment="1">
      <alignment vertical="center"/>
    </xf>
    <xf numFmtId="14" fontId="6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166" fontId="5" fillId="3" borderId="64" xfId="1" applyNumberFormat="1" applyFont="1" applyFill="1" applyBorder="1"/>
    <xf numFmtId="166" fontId="5" fillId="3" borderId="27" xfId="1" applyNumberFormat="1" applyFont="1" applyFill="1" applyBorder="1"/>
    <xf numFmtId="0" fontId="6" fillId="3" borderId="20" xfId="0" applyFont="1" applyFill="1" applyBorder="1" applyAlignment="1">
      <alignment vertical="center"/>
    </xf>
    <xf numFmtId="14" fontId="6" fillId="3" borderId="21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vertical="center"/>
    </xf>
    <xf numFmtId="0" fontId="6" fillId="3" borderId="2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left"/>
    </xf>
    <xf numFmtId="165" fontId="2" fillId="3" borderId="29" xfId="0" applyNumberFormat="1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166" fontId="2" fillId="3" borderId="29" xfId="1" applyNumberFormat="1" applyFont="1" applyFill="1" applyBorder="1" applyAlignment="1">
      <alignment horizontal="left"/>
    </xf>
    <xf numFmtId="0" fontId="2" fillId="3" borderId="30" xfId="0" applyFont="1" applyFill="1" applyBorder="1" applyAlignment="1">
      <alignment horizontal="left"/>
    </xf>
    <xf numFmtId="0" fontId="6" fillId="3" borderId="31" xfId="0" applyFont="1" applyFill="1" applyBorder="1" applyAlignment="1">
      <alignment vertical="center"/>
    </xf>
    <xf numFmtId="14" fontId="6" fillId="3" borderId="32" xfId="0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166" fontId="5" fillId="3" borderId="65" xfId="1" applyNumberFormat="1" applyFont="1" applyFill="1" applyBorder="1"/>
    <xf numFmtId="166" fontId="5" fillId="3" borderId="34" xfId="1" applyNumberFormat="1" applyFont="1" applyFill="1" applyBorder="1"/>
    <xf numFmtId="0" fontId="3" fillId="9" borderId="23" xfId="0" applyFont="1" applyFill="1" applyBorder="1" applyAlignment="1">
      <alignment horizontal="left"/>
    </xf>
    <xf numFmtId="165" fontId="2" fillId="9" borderId="24" xfId="0" applyNumberFormat="1" applyFont="1" applyFill="1" applyBorder="1" applyAlignment="1">
      <alignment horizontal="left"/>
    </xf>
    <xf numFmtId="0" fontId="2" fillId="9" borderId="24" xfId="0" applyFont="1" applyFill="1" applyBorder="1" applyAlignment="1">
      <alignment horizontal="left"/>
    </xf>
    <xf numFmtId="166" fontId="2" fillId="9" borderId="24" xfId="1" applyNumberFormat="1" applyFont="1" applyFill="1" applyBorder="1" applyAlignment="1">
      <alignment horizontal="left"/>
    </xf>
    <xf numFmtId="0" fontId="2" fillId="9" borderId="25" xfId="0" applyFont="1" applyFill="1" applyBorder="1" applyAlignment="1">
      <alignment horizontal="left"/>
    </xf>
    <xf numFmtId="0" fontId="6" fillId="9" borderId="23" xfId="0" applyFont="1" applyFill="1" applyBorder="1" applyAlignment="1">
      <alignment vertical="center"/>
    </xf>
    <xf numFmtId="14" fontId="6" fillId="9" borderId="24" xfId="0" applyNumberFormat="1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vertical="center"/>
    </xf>
    <xf numFmtId="0" fontId="6" fillId="9" borderId="25" xfId="0" applyFont="1" applyFill="1" applyBorder="1" applyAlignment="1">
      <alignment horizontal="center" vertical="center"/>
    </xf>
    <xf numFmtId="166" fontId="5" fillId="9" borderId="53" xfId="1" applyNumberFormat="1" applyFont="1" applyFill="1" applyBorder="1"/>
    <xf numFmtId="166" fontId="5" fillId="9" borderId="26" xfId="1" applyNumberFormat="1" applyFont="1" applyFill="1" applyBorder="1"/>
    <xf numFmtId="0" fontId="3" fillId="9" borderId="14" xfId="0" applyFont="1" applyFill="1" applyBorder="1" applyAlignment="1">
      <alignment horizontal="left"/>
    </xf>
    <xf numFmtId="165" fontId="2" fillId="9" borderId="15" xfId="0" applyNumberFormat="1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2" fillId="9" borderId="16" xfId="0" applyFont="1" applyFill="1" applyBorder="1" applyAlignment="1">
      <alignment horizontal="left"/>
    </xf>
    <xf numFmtId="0" fontId="6" fillId="9" borderId="20" xfId="0" applyFont="1" applyFill="1" applyBorder="1" applyAlignment="1">
      <alignment vertical="center"/>
    </xf>
    <xf numFmtId="14" fontId="6" fillId="9" borderId="21" xfId="0" applyNumberFormat="1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vertical="center"/>
    </xf>
    <xf numFmtId="0" fontId="6" fillId="9" borderId="22" xfId="0" applyFont="1" applyFill="1" applyBorder="1" applyAlignment="1">
      <alignment horizontal="center" vertical="center"/>
    </xf>
    <xf numFmtId="166" fontId="5" fillId="9" borderId="64" xfId="1" applyNumberFormat="1" applyFont="1" applyFill="1" applyBorder="1"/>
    <xf numFmtId="166" fontId="5" fillId="9" borderId="27" xfId="1" applyNumberFormat="1" applyFont="1" applyFill="1" applyBorder="1"/>
    <xf numFmtId="0" fontId="3" fillId="9" borderId="28" xfId="0" applyFont="1" applyFill="1" applyBorder="1" applyAlignment="1">
      <alignment horizontal="left"/>
    </xf>
    <xf numFmtId="165" fontId="2" fillId="9" borderId="29" xfId="0" applyNumberFormat="1" applyFont="1" applyFill="1" applyBorder="1" applyAlignment="1">
      <alignment horizontal="left"/>
    </xf>
    <xf numFmtId="0" fontId="2" fillId="9" borderId="29" xfId="0" applyFont="1" applyFill="1" applyBorder="1" applyAlignment="1">
      <alignment horizontal="left"/>
    </xf>
    <xf numFmtId="0" fontId="2" fillId="9" borderId="30" xfId="0" applyFont="1" applyFill="1" applyBorder="1" applyAlignment="1">
      <alignment horizontal="left"/>
    </xf>
    <xf numFmtId="0" fontId="6" fillId="9" borderId="31" xfId="0" applyFont="1" applyFill="1" applyBorder="1" applyAlignment="1">
      <alignment vertical="center"/>
    </xf>
    <xf numFmtId="14" fontId="6" fillId="9" borderId="32" xfId="0" applyNumberFormat="1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vertical="center"/>
    </xf>
    <xf numFmtId="0" fontId="6" fillId="9" borderId="33" xfId="0" applyFont="1" applyFill="1" applyBorder="1" applyAlignment="1">
      <alignment horizontal="center" vertical="center"/>
    </xf>
    <xf numFmtId="166" fontId="5" fillId="9" borderId="65" xfId="1" applyNumberFormat="1" applyFont="1" applyFill="1" applyBorder="1"/>
    <xf numFmtId="166" fontId="5" fillId="9" borderId="34" xfId="1" applyNumberFormat="1" applyFont="1" applyFill="1" applyBorder="1"/>
    <xf numFmtId="0" fontId="3" fillId="0" borderId="14" xfId="0" applyFont="1" applyFill="1" applyBorder="1" applyAlignment="1">
      <alignment horizontal="left"/>
    </xf>
    <xf numFmtId="165" fontId="2" fillId="0" borderId="15" xfId="0" applyNumberFormat="1" applyFont="1" applyFill="1" applyBorder="1" applyAlignment="1">
      <alignment horizontal="left"/>
    </xf>
    <xf numFmtId="166" fontId="5" fillId="0" borderId="64" xfId="1" applyNumberFormat="1" applyFont="1" applyFill="1" applyBorder="1"/>
    <xf numFmtId="166" fontId="5" fillId="0" borderId="27" xfId="1" applyNumberFormat="1" applyFont="1" applyFill="1" applyBorder="1"/>
    <xf numFmtId="166" fontId="2" fillId="0" borderId="57" xfId="1" applyNumberFormat="1" applyFont="1" applyFill="1" applyBorder="1"/>
    <xf numFmtId="166" fontId="2" fillId="0" borderId="52" xfId="1" applyNumberFormat="1" applyFont="1" applyFill="1" applyBorder="1"/>
    <xf numFmtId="0" fontId="8" fillId="2" borderId="41" xfId="0" applyFont="1" applyFill="1" applyBorder="1" applyAlignment="1">
      <alignment horizontal="left"/>
    </xf>
    <xf numFmtId="165" fontId="8" fillId="2" borderId="42" xfId="0" applyNumberFormat="1" applyFont="1" applyFill="1" applyBorder="1" applyAlignment="1">
      <alignment horizontal="left"/>
    </xf>
    <xf numFmtId="0" fontId="8" fillId="2" borderId="42" xfId="0" applyFont="1" applyFill="1" applyBorder="1" applyAlignment="1">
      <alignment horizontal="left"/>
    </xf>
    <xf numFmtId="3" fontId="8" fillId="2" borderId="42" xfId="0" applyNumberFormat="1" applyFont="1" applyFill="1" applyBorder="1" applyAlignment="1">
      <alignment horizontal="left"/>
    </xf>
    <xf numFmtId="0" fontId="8" fillId="2" borderId="4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/>
    </xf>
    <xf numFmtId="0" fontId="8" fillId="2" borderId="42" xfId="0" applyFont="1" applyFill="1" applyBorder="1" applyAlignment="1">
      <alignment vertical="center"/>
    </xf>
    <xf numFmtId="166" fontId="8" fillId="2" borderId="42" xfId="1" applyNumberFormat="1" applyFont="1" applyFill="1" applyBorder="1" applyAlignment="1"/>
    <xf numFmtId="166" fontId="8" fillId="2" borderId="65" xfId="1" applyNumberFormat="1" applyFont="1" applyFill="1" applyBorder="1"/>
    <xf numFmtId="166" fontId="8" fillId="2" borderId="34" xfId="1" applyNumberFormat="1" applyFont="1" applyFill="1" applyBorder="1"/>
    <xf numFmtId="0" fontId="8" fillId="2" borderId="0" xfId="0" applyFont="1" applyFill="1"/>
    <xf numFmtId="0" fontId="8" fillId="2" borderId="1" xfId="0" applyFont="1" applyFill="1" applyBorder="1" applyAlignment="1">
      <alignment horizontal="left" vertical="center" wrapText="1"/>
    </xf>
    <xf numFmtId="165" fontId="8" fillId="2" borderId="2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7" borderId="23" xfId="0" applyFont="1" applyFill="1" applyBorder="1" applyAlignment="1">
      <alignment horizontal="left" vertical="center"/>
    </xf>
    <xf numFmtId="165" fontId="2" fillId="7" borderId="24" xfId="0" applyNumberFormat="1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3" fontId="2" fillId="7" borderId="24" xfId="0" applyNumberFormat="1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2" fillId="7" borderId="46" xfId="0" applyFont="1" applyFill="1" applyBorder="1" applyAlignment="1">
      <alignment vertical="center"/>
    </xf>
    <xf numFmtId="14" fontId="2" fillId="7" borderId="47" xfId="0" applyNumberFormat="1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vertical="center"/>
    </xf>
    <xf numFmtId="3" fontId="2" fillId="7" borderId="47" xfId="0" applyNumberFormat="1" applyFont="1" applyFill="1" applyBorder="1" applyAlignment="1">
      <alignment vertical="center" wrapText="1"/>
    </xf>
    <xf numFmtId="0" fontId="2" fillId="7" borderId="48" xfId="0" applyFont="1" applyFill="1" applyBorder="1" applyAlignment="1">
      <alignment horizontal="right" vertical="center" wrapText="1"/>
    </xf>
    <xf numFmtId="166" fontId="2" fillId="7" borderId="26" xfId="1" applyNumberFormat="1" applyFont="1" applyFill="1" applyBorder="1"/>
    <xf numFmtId="166" fontId="5" fillId="7" borderId="26" xfId="1" applyNumberFormat="1" applyFont="1" applyFill="1" applyBorder="1"/>
    <xf numFmtId="0" fontId="2" fillId="7" borderId="14" xfId="0" applyFont="1" applyFill="1" applyBorder="1" applyAlignment="1">
      <alignment horizontal="left" vertical="center"/>
    </xf>
    <xf numFmtId="165" fontId="2" fillId="7" borderId="15" xfId="0" applyNumberFormat="1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3" fontId="2" fillId="7" borderId="15" xfId="0" applyNumberFormat="1" applyFont="1" applyFill="1" applyBorder="1" applyAlignment="1">
      <alignment horizontal="left" vertical="center"/>
    </xf>
    <xf numFmtId="0" fontId="2" fillId="7" borderId="16" xfId="0" applyFont="1" applyFill="1" applyBorder="1" applyAlignment="1">
      <alignment horizontal="left" vertical="center"/>
    </xf>
    <xf numFmtId="0" fontId="2" fillId="7" borderId="17" xfId="0" applyFont="1" applyFill="1" applyBorder="1" applyAlignment="1">
      <alignment vertical="center"/>
    </xf>
    <xf numFmtId="14" fontId="2" fillId="7" borderId="18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vertical="center"/>
    </xf>
    <xf numFmtId="3" fontId="2" fillId="7" borderId="18" xfId="0" applyNumberFormat="1" applyFont="1" applyFill="1" applyBorder="1" applyAlignment="1">
      <alignment vertical="center" wrapText="1"/>
    </xf>
    <xf numFmtId="0" fontId="2" fillId="7" borderId="19" xfId="0" applyFont="1" applyFill="1" applyBorder="1" applyAlignment="1">
      <alignment horizontal="right" vertical="center" wrapText="1"/>
    </xf>
    <xf numFmtId="166" fontId="5" fillId="7" borderId="27" xfId="1" applyNumberFormat="1" applyFont="1" applyFill="1" applyBorder="1"/>
    <xf numFmtId="0" fontId="2" fillId="7" borderId="28" xfId="0" applyFont="1" applyFill="1" applyBorder="1" applyAlignment="1">
      <alignment horizontal="left" vertical="center"/>
    </xf>
    <xf numFmtId="165" fontId="2" fillId="7" borderId="29" xfId="0" applyNumberFormat="1" applyFont="1" applyFill="1" applyBorder="1" applyAlignment="1">
      <alignment horizontal="left" vertical="center"/>
    </xf>
    <xf numFmtId="0" fontId="2" fillId="7" borderId="29" xfId="0" applyFont="1" applyFill="1" applyBorder="1" applyAlignment="1">
      <alignment horizontal="left" vertical="center"/>
    </xf>
    <xf numFmtId="3" fontId="2" fillId="7" borderId="29" xfId="0" applyNumberFormat="1" applyFont="1" applyFill="1" applyBorder="1" applyAlignment="1">
      <alignment horizontal="left" vertical="center"/>
    </xf>
    <xf numFmtId="0" fontId="2" fillId="7" borderId="30" xfId="0" applyFont="1" applyFill="1" applyBorder="1" applyAlignment="1">
      <alignment horizontal="left" vertical="center"/>
    </xf>
    <xf numFmtId="0" fontId="2" fillId="7" borderId="31" xfId="0" applyFont="1" applyFill="1" applyBorder="1" applyAlignment="1">
      <alignment vertical="center"/>
    </xf>
    <xf numFmtId="14" fontId="2" fillId="7" borderId="32" xfId="0" applyNumberFormat="1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vertical="center"/>
    </xf>
    <xf numFmtId="3" fontId="2" fillId="7" borderId="32" xfId="0" applyNumberFormat="1" applyFont="1" applyFill="1" applyBorder="1" applyAlignment="1">
      <alignment vertical="center" wrapText="1"/>
    </xf>
    <xf numFmtId="0" fontId="2" fillId="7" borderId="33" xfId="0" applyFont="1" applyFill="1" applyBorder="1" applyAlignment="1">
      <alignment horizontal="right" vertical="center" wrapText="1"/>
    </xf>
    <xf numFmtId="166" fontId="2" fillId="7" borderId="34" xfId="1" applyNumberFormat="1" applyFont="1" applyFill="1" applyBorder="1"/>
    <xf numFmtId="166" fontId="5" fillId="7" borderId="34" xfId="1" applyNumberFormat="1" applyFont="1" applyFill="1" applyBorder="1"/>
    <xf numFmtId="0" fontId="2" fillId="9" borderId="23" xfId="0" applyFont="1" applyFill="1" applyBorder="1" applyAlignment="1">
      <alignment horizontal="left" vertical="center"/>
    </xf>
    <xf numFmtId="165" fontId="2" fillId="9" borderId="24" xfId="0" applyNumberFormat="1" applyFont="1" applyFill="1" applyBorder="1" applyAlignment="1">
      <alignment horizontal="left" vertical="center"/>
    </xf>
    <xf numFmtId="0" fontId="2" fillId="9" borderId="24" xfId="0" applyFont="1" applyFill="1" applyBorder="1" applyAlignment="1">
      <alignment horizontal="left" vertical="center"/>
    </xf>
    <xf numFmtId="3" fontId="2" fillId="9" borderId="24" xfId="0" applyNumberFormat="1" applyFont="1" applyFill="1" applyBorder="1" applyAlignment="1">
      <alignment horizontal="left" vertical="center"/>
    </xf>
    <xf numFmtId="0" fontId="2" fillId="9" borderId="25" xfId="0" applyFont="1" applyFill="1" applyBorder="1" applyAlignment="1">
      <alignment horizontal="left" vertical="center"/>
    </xf>
    <xf numFmtId="0" fontId="6" fillId="9" borderId="46" xfId="0" applyFont="1" applyFill="1" applyBorder="1" applyAlignment="1">
      <alignment vertical="center"/>
    </xf>
    <xf numFmtId="14" fontId="6" fillId="9" borderId="47" xfId="0" applyNumberFormat="1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vertical="center"/>
    </xf>
    <xf numFmtId="3" fontId="6" fillId="9" borderId="47" xfId="0" applyNumberFormat="1" applyFont="1" applyFill="1" applyBorder="1" applyAlignment="1">
      <alignment vertical="center" wrapText="1"/>
    </xf>
    <xf numFmtId="0" fontId="6" fillId="9" borderId="48" xfId="0" applyFont="1" applyFill="1" applyBorder="1" applyAlignment="1">
      <alignment horizontal="right" vertical="center" wrapText="1"/>
    </xf>
    <xf numFmtId="166" fontId="2" fillId="9" borderId="26" xfId="1" applyNumberFormat="1" applyFont="1" applyFill="1" applyBorder="1"/>
    <xf numFmtId="0" fontId="3" fillId="9" borderId="14" xfId="0" applyFont="1" applyFill="1" applyBorder="1" applyAlignment="1">
      <alignment horizontal="left" vertical="center"/>
    </xf>
    <xf numFmtId="165" fontId="2" fillId="9" borderId="15" xfId="0" applyNumberFormat="1" applyFont="1" applyFill="1" applyBorder="1" applyAlignment="1">
      <alignment horizontal="left" vertical="center"/>
    </xf>
    <xf numFmtId="0" fontId="2" fillId="9" borderId="15" xfId="0" applyFont="1" applyFill="1" applyBorder="1" applyAlignment="1">
      <alignment horizontal="left" vertical="center"/>
    </xf>
    <xf numFmtId="3" fontId="2" fillId="9" borderId="15" xfId="0" applyNumberFormat="1" applyFont="1" applyFill="1" applyBorder="1" applyAlignment="1">
      <alignment horizontal="left" vertical="center"/>
    </xf>
    <xf numFmtId="0" fontId="2" fillId="9" borderId="16" xfId="0" applyFont="1" applyFill="1" applyBorder="1" applyAlignment="1">
      <alignment horizontal="left" vertical="center"/>
    </xf>
    <xf numFmtId="0" fontId="6" fillId="9" borderId="17" xfId="0" applyFont="1" applyFill="1" applyBorder="1" applyAlignment="1">
      <alignment vertical="center"/>
    </xf>
    <xf numFmtId="14" fontId="6" fillId="9" borderId="18" xfId="0" applyNumberFormat="1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vertical="center"/>
    </xf>
    <xf numFmtId="3" fontId="6" fillId="9" borderId="18" xfId="0" applyNumberFormat="1" applyFont="1" applyFill="1" applyBorder="1" applyAlignment="1">
      <alignment vertical="center" wrapText="1"/>
    </xf>
    <xf numFmtId="0" fontId="6" fillId="9" borderId="19" xfId="0" applyFont="1" applyFill="1" applyBorder="1" applyAlignment="1">
      <alignment horizontal="right" vertical="center" wrapText="1"/>
    </xf>
    <xf numFmtId="166" fontId="2" fillId="9" borderId="27" xfId="1" applyNumberFormat="1" applyFont="1" applyFill="1" applyBorder="1"/>
    <xf numFmtId="0" fontId="2" fillId="9" borderId="28" xfId="0" applyFont="1" applyFill="1" applyBorder="1" applyAlignment="1">
      <alignment horizontal="left" vertical="center"/>
    </xf>
    <xf numFmtId="165" fontId="2" fillId="9" borderId="29" xfId="0" applyNumberFormat="1" applyFont="1" applyFill="1" applyBorder="1" applyAlignment="1">
      <alignment horizontal="left" vertical="center"/>
    </xf>
    <xf numFmtId="0" fontId="2" fillId="9" borderId="29" xfId="0" applyFont="1" applyFill="1" applyBorder="1" applyAlignment="1">
      <alignment horizontal="left" vertical="center"/>
    </xf>
    <xf numFmtId="3" fontId="2" fillId="9" borderId="29" xfId="0" applyNumberFormat="1" applyFont="1" applyFill="1" applyBorder="1" applyAlignment="1">
      <alignment horizontal="left" vertical="center"/>
    </xf>
    <xf numFmtId="0" fontId="2" fillId="9" borderId="30" xfId="0" applyFont="1" applyFill="1" applyBorder="1" applyAlignment="1">
      <alignment horizontal="left" vertical="center"/>
    </xf>
    <xf numFmtId="3" fontId="6" fillId="9" borderId="32" xfId="0" applyNumberFormat="1" applyFont="1" applyFill="1" applyBorder="1" applyAlignment="1">
      <alignment vertical="center" wrapText="1"/>
    </xf>
    <xf numFmtId="0" fontId="6" fillId="9" borderId="33" xfId="0" applyFont="1" applyFill="1" applyBorder="1" applyAlignment="1">
      <alignment horizontal="right" vertical="center" wrapText="1"/>
    </xf>
    <xf numFmtId="166" fontId="2" fillId="9" borderId="34" xfId="1" applyNumberFormat="1" applyFont="1" applyFill="1" applyBorder="1"/>
    <xf numFmtId="0" fontId="6" fillId="10" borderId="23" xfId="0" applyFont="1" applyFill="1" applyBorder="1" applyAlignment="1">
      <alignment horizontal="left" vertical="center"/>
    </xf>
    <xf numFmtId="165" fontId="6" fillId="10" borderId="24" xfId="0" applyNumberFormat="1" applyFont="1" applyFill="1" applyBorder="1" applyAlignment="1">
      <alignment horizontal="left" vertical="center"/>
    </xf>
    <xf numFmtId="0" fontId="6" fillId="10" borderId="24" xfId="0" applyFont="1" applyFill="1" applyBorder="1" applyAlignment="1">
      <alignment horizontal="left" vertical="center"/>
    </xf>
    <xf numFmtId="3" fontId="6" fillId="10" borderId="24" xfId="0" applyNumberFormat="1" applyFont="1" applyFill="1" applyBorder="1" applyAlignment="1">
      <alignment horizontal="left" vertical="center"/>
    </xf>
    <xf numFmtId="0" fontId="6" fillId="10" borderId="25" xfId="0" applyFont="1" applyFill="1" applyBorder="1" applyAlignment="1">
      <alignment horizontal="left" vertical="center"/>
    </xf>
    <xf numFmtId="0" fontId="2" fillId="10" borderId="23" xfId="0" applyFont="1" applyFill="1" applyBorder="1" applyAlignment="1">
      <alignment vertical="center"/>
    </xf>
    <xf numFmtId="14" fontId="2" fillId="10" borderId="24" xfId="0" applyNumberFormat="1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6" fillId="10" borderId="47" xfId="0" applyFont="1" applyFill="1" applyBorder="1" applyAlignment="1">
      <alignment vertical="center"/>
    </xf>
    <xf numFmtId="0" fontId="2" fillId="10" borderId="24" xfId="0" applyFont="1" applyFill="1" applyBorder="1" applyAlignment="1">
      <alignment vertical="center"/>
    </xf>
    <xf numFmtId="3" fontId="2" fillId="10" borderId="24" xfId="0" applyNumberFormat="1" applyFont="1" applyFill="1" applyBorder="1" applyAlignment="1">
      <alignment vertical="center" wrapText="1"/>
    </xf>
    <xf numFmtId="0" fontId="2" fillId="10" borderId="25" xfId="0" applyFont="1" applyFill="1" applyBorder="1" applyAlignment="1">
      <alignment horizontal="right" vertical="center" wrapText="1"/>
    </xf>
    <xf numFmtId="166" fontId="2" fillId="10" borderId="26" xfId="1" applyNumberFormat="1" applyFont="1" applyFill="1" applyBorder="1"/>
    <xf numFmtId="166" fontId="5" fillId="10" borderId="26" xfId="1" applyNumberFormat="1" applyFont="1" applyFill="1" applyBorder="1"/>
    <xf numFmtId="0" fontId="6" fillId="10" borderId="14" xfId="0" applyFont="1" applyFill="1" applyBorder="1" applyAlignment="1">
      <alignment horizontal="left" vertical="center"/>
    </xf>
    <xf numFmtId="165" fontId="6" fillId="10" borderId="15" xfId="0" applyNumberFormat="1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3" fontId="6" fillId="10" borderId="15" xfId="0" applyNumberFormat="1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0" fontId="2" fillId="10" borderId="20" xfId="0" applyFont="1" applyFill="1" applyBorder="1" applyAlignment="1">
      <alignment vertical="center"/>
    </xf>
    <xf numFmtId="14" fontId="2" fillId="10" borderId="21" xfId="0" applyNumberFormat="1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vertical="center"/>
    </xf>
    <xf numFmtId="0" fontId="2" fillId="10" borderId="21" xfId="0" applyFont="1" applyFill="1" applyBorder="1" applyAlignment="1">
      <alignment vertical="center"/>
    </xf>
    <xf numFmtId="3" fontId="2" fillId="10" borderId="21" xfId="0" applyNumberFormat="1" applyFont="1" applyFill="1" applyBorder="1" applyAlignment="1">
      <alignment vertical="center" wrapText="1"/>
    </xf>
    <xf numFmtId="0" fontId="2" fillId="10" borderId="22" xfId="0" applyFont="1" applyFill="1" applyBorder="1" applyAlignment="1">
      <alignment horizontal="right" vertical="center" wrapText="1"/>
    </xf>
    <xf numFmtId="166" fontId="2" fillId="10" borderId="27" xfId="1" applyNumberFormat="1" applyFont="1" applyFill="1" applyBorder="1"/>
    <xf numFmtId="166" fontId="5" fillId="10" borderId="27" xfId="1" applyNumberFormat="1" applyFont="1" applyFill="1" applyBorder="1"/>
    <xf numFmtId="0" fontId="6" fillId="10" borderId="28" xfId="0" applyFont="1" applyFill="1" applyBorder="1" applyAlignment="1">
      <alignment horizontal="left" vertical="center"/>
    </xf>
    <xf numFmtId="165" fontId="6" fillId="10" borderId="29" xfId="0" applyNumberFormat="1" applyFont="1" applyFill="1" applyBorder="1" applyAlignment="1">
      <alignment horizontal="left" vertical="center"/>
    </xf>
    <xf numFmtId="0" fontId="6" fillId="10" borderId="29" xfId="0" applyFont="1" applyFill="1" applyBorder="1" applyAlignment="1">
      <alignment horizontal="left" vertical="center"/>
    </xf>
    <xf numFmtId="3" fontId="6" fillId="10" borderId="29" xfId="0" applyNumberFormat="1" applyFont="1" applyFill="1" applyBorder="1" applyAlignment="1">
      <alignment horizontal="left" vertical="center"/>
    </xf>
    <xf numFmtId="0" fontId="6" fillId="10" borderId="30" xfId="0" applyFont="1" applyFill="1" applyBorder="1" applyAlignment="1">
      <alignment horizontal="left" vertical="center"/>
    </xf>
    <xf numFmtId="0" fontId="2" fillId="10" borderId="31" xfId="0" applyFont="1" applyFill="1" applyBorder="1" applyAlignment="1">
      <alignment vertical="center"/>
    </xf>
    <xf numFmtId="14" fontId="2" fillId="10" borderId="32" xfId="0" applyNumberFormat="1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6" fillId="10" borderId="32" xfId="0" applyFont="1" applyFill="1" applyBorder="1" applyAlignment="1">
      <alignment vertical="center"/>
    </xf>
    <xf numFmtId="0" fontId="2" fillId="10" borderId="32" xfId="0" applyFont="1" applyFill="1" applyBorder="1" applyAlignment="1">
      <alignment vertical="center"/>
    </xf>
    <xf numFmtId="3" fontId="2" fillId="10" borderId="32" xfId="0" applyNumberFormat="1" applyFont="1" applyFill="1" applyBorder="1" applyAlignment="1">
      <alignment vertical="center" wrapText="1"/>
    </xf>
    <xf numFmtId="0" fontId="2" fillId="10" borderId="33" xfId="0" applyFont="1" applyFill="1" applyBorder="1" applyAlignment="1">
      <alignment horizontal="right" vertical="center" wrapText="1"/>
    </xf>
    <xf numFmtId="166" fontId="2" fillId="10" borderId="34" xfId="1" applyNumberFormat="1" applyFont="1" applyFill="1" applyBorder="1"/>
    <xf numFmtId="166" fontId="5" fillId="10" borderId="34" xfId="1" applyNumberFormat="1" applyFont="1" applyFill="1" applyBorder="1"/>
    <xf numFmtId="0" fontId="6" fillId="2" borderId="14" xfId="0" applyFont="1" applyFill="1" applyBorder="1" applyAlignment="1">
      <alignment horizontal="left" vertical="center"/>
    </xf>
    <xf numFmtId="165" fontId="6" fillId="2" borderId="15" xfId="0" applyNumberFormat="1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3" fontId="6" fillId="2" borderId="15" xfId="0" applyNumberFormat="1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vertical="center"/>
    </xf>
    <xf numFmtId="14" fontId="2" fillId="2" borderId="47" xfId="0" applyNumberFormat="1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vertical="center"/>
    </xf>
    <xf numFmtId="0" fontId="2" fillId="2" borderId="47" xfId="0" applyFont="1" applyFill="1" applyBorder="1" applyAlignment="1">
      <alignment vertical="center"/>
    </xf>
    <xf numFmtId="3" fontId="2" fillId="2" borderId="47" xfId="0" applyNumberFormat="1" applyFont="1" applyFill="1" applyBorder="1" applyAlignment="1">
      <alignment vertical="center" wrapText="1"/>
    </xf>
    <xf numFmtId="0" fontId="2" fillId="2" borderId="48" xfId="0" applyFont="1" applyFill="1" applyBorder="1" applyAlignment="1">
      <alignment horizontal="right" vertical="center" wrapText="1"/>
    </xf>
    <xf numFmtId="166" fontId="2" fillId="2" borderId="69" xfId="1" applyNumberFormat="1" applyFont="1" applyFill="1" applyBorder="1"/>
    <xf numFmtId="166" fontId="5" fillId="2" borderId="68" xfId="1" applyNumberFormat="1" applyFont="1" applyFill="1" applyBorder="1"/>
    <xf numFmtId="0" fontId="5" fillId="2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14" fontId="2" fillId="2" borderId="15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3" fontId="6" fillId="2" borderId="15" xfId="0" applyNumberFormat="1" applyFont="1" applyFill="1" applyBorder="1" applyAlignment="1">
      <alignment vertical="center" wrapText="1"/>
    </xf>
    <xf numFmtId="3" fontId="6" fillId="2" borderId="16" xfId="0" applyNumberFormat="1" applyFont="1" applyFill="1" applyBorder="1" applyAlignment="1">
      <alignment horizontal="right" vertical="center" wrapText="1"/>
    </xf>
    <xf numFmtId="3" fontId="3" fillId="2" borderId="56" xfId="0" applyNumberFormat="1" applyFont="1" applyFill="1" applyBorder="1" applyAlignment="1">
      <alignment vertical="center" wrapText="1"/>
    </xf>
    <xf numFmtId="3" fontId="5" fillId="2" borderId="56" xfId="0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/>
    </xf>
    <xf numFmtId="165" fontId="6" fillId="2" borderId="15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3" fontId="6" fillId="2" borderId="15" xfId="0" applyNumberFormat="1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3" fontId="2" fillId="2" borderId="21" xfId="0" applyNumberFormat="1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right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165" fontId="2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vertical="center"/>
    </xf>
    <xf numFmtId="3" fontId="2" fillId="2" borderId="36" xfId="0" applyNumberFormat="1" applyFont="1" applyFill="1" applyBorder="1" applyAlignment="1">
      <alignment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4" fontId="2" fillId="2" borderId="39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vertical="center"/>
    </xf>
    <xf numFmtId="3" fontId="2" fillId="2" borderId="39" xfId="0" applyNumberFormat="1" applyFont="1" applyFill="1" applyBorder="1" applyAlignment="1">
      <alignment vertical="center" wrapText="1"/>
    </xf>
    <xf numFmtId="0" fontId="2" fillId="2" borderId="40" xfId="0" applyFont="1" applyFill="1" applyBorder="1" applyAlignment="1">
      <alignment horizontal="right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righ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165" fontId="6" fillId="8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/>
    </xf>
    <xf numFmtId="3" fontId="6" fillId="8" borderId="9" xfId="0" applyNumberFormat="1" applyFont="1" applyFill="1" applyBorder="1" applyAlignment="1">
      <alignment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vertical="center"/>
    </xf>
    <xf numFmtId="14" fontId="6" fillId="8" borderId="50" xfId="0" applyNumberFormat="1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vertical="center"/>
    </xf>
    <xf numFmtId="3" fontId="6" fillId="8" borderId="50" xfId="0" applyNumberFormat="1" applyFont="1" applyFill="1" applyBorder="1" applyAlignment="1">
      <alignment vertical="center" wrapText="1"/>
    </xf>
    <xf numFmtId="0" fontId="6" fillId="8" borderId="51" xfId="0" applyFont="1" applyFill="1" applyBorder="1" applyAlignment="1">
      <alignment horizontal="center" vertical="center" wrapText="1"/>
    </xf>
    <xf numFmtId="166" fontId="2" fillId="8" borderId="49" xfId="1" applyNumberFormat="1" applyFont="1" applyFill="1" applyBorder="1" applyAlignment="1">
      <alignment vertical="center"/>
    </xf>
    <xf numFmtId="166" fontId="2" fillId="8" borderId="55" xfId="1" applyNumberFormat="1" applyFont="1" applyFill="1" applyBorder="1" applyAlignment="1">
      <alignment vertical="center"/>
    </xf>
    <xf numFmtId="0" fontId="6" fillId="8" borderId="14" xfId="0" applyFont="1" applyFill="1" applyBorder="1" applyAlignment="1">
      <alignment horizontal="left" vertical="center"/>
    </xf>
    <xf numFmtId="165" fontId="6" fillId="8" borderId="15" xfId="0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vertical="center"/>
    </xf>
    <xf numFmtId="3" fontId="6" fillId="8" borderId="15" xfId="0" applyNumberFormat="1" applyFont="1" applyFill="1" applyBorder="1" applyAlignment="1">
      <alignment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vertical="center"/>
    </xf>
    <xf numFmtId="14" fontId="6" fillId="8" borderId="18" xfId="0" applyNumberFormat="1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vertical="center"/>
    </xf>
    <xf numFmtId="3" fontId="6" fillId="8" borderId="18" xfId="0" applyNumberFormat="1" applyFont="1" applyFill="1" applyBorder="1" applyAlignment="1">
      <alignment vertical="center" wrapText="1"/>
    </xf>
    <xf numFmtId="0" fontId="6" fillId="8" borderId="19" xfId="0" applyFont="1" applyFill="1" applyBorder="1" applyAlignment="1">
      <alignment horizontal="center" vertical="center" wrapText="1"/>
    </xf>
    <xf numFmtId="166" fontId="2" fillId="8" borderId="17" xfId="1" applyNumberFormat="1" applyFont="1" applyFill="1" applyBorder="1" applyAlignment="1">
      <alignment vertical="center"/>
    </xf>
    <xf numFmtId="166" fontId="2" fillId="8" borderId="56" xfId="1" applyNumberFormat="1" applyFont="1" applyFill="1" applyBorder="1" applyAlignment="1">
      <alignment vertical="center"/>
    </xf>
    <xf numFmtId="0" fontId="6" fillId="8" borderId="14" xfId="0" applyFont="1" applyFill="1" applyBorder="1" applyAlignment="1">
      <alignment horizontal="center" vertical="center"/>
    </xf>
    <xf numFmtId="3" fontId="6" fillId="8" borderId="21" xfId="0" applyNumberFormat="1" applyFont="1" applyFill="1" applyBorder="1" applyAlignment="1">
      <alignment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/>
    </xf>
    <xf numFmtId="165" fontId="6" fillId="8" borderId="36" xfId="0" applyNumberFormat="1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vertical="center"/>
    </xf>
    <xf numFmtId="3" fontId="6" fillId="8" borderId="36" xfId="0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vertical="center"/>
    </xf>
    <xf numFmtId="14" fontId="6" fillId="8" borderId="36" xfId="0" applyNumberFormat="1" applyFont="1" applyFill="1" applyBorder="1" applyAlignment="1">
      <alignment horizontal="center" vertical="center"/>
    </xf>
    <xf numFmtId="3" fontId="6" fillId="8" borderId="36" xfId="0" applyNumberFormat="1" applyFont="1" applyFill="1" applyBorder="1" applyAlignment="1">
      <alignment vertical="center" wrapText="1"/>
    </xf>
    <xf numFmtId="0" fontId="6" fillId="8" borderId="37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/>
    </xf>
    <xf numFmtId="165" fontId="10" fillId="10" borderId="15" xfId="0" applyNumberFormat="1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vertical="center"/>
    </xf>
    <xf numFmtId="3" fontId="10" fillId="10" borderId="15" xfId="0" applyNumberFormat="1" applyFont="1" applyFill="1" applyBorder="1" applyAlignment="1">
      <alignment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vertical="center"/>
    </xf>
    <xf numFmtId="14" fontId="10" fillId="10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vertical="center"/>
    </xf>
    <xf numFmtId="3" fontId="10" fillId="10" borderId="12" xfId="0" applyNumberFormat="1" applyFont="1" applyFill="1" applyBorder="1" applyAlignment="1">
      <alignment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vertical="center"/>
    </xf>
    <xf numFmtId="14" fontId="10" fillId="10" borderId="15" xfId="0" applyNumberFormat="1" applyFont="1" applyFill="1" applyBorder="1" applyAlignment="1">
      <alignment horizontal="center" vertical="center"/>
    </xf>
    <xf numFmtId="3" fontId="10" fillId="10" borderId="15" xfId="0" applyNumberFormat="1" applyFont="1" applyFill="1" applyBorder="1" applyAlignment="1">
      <alignment vertical="center" wrapText="1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vertical="center"/>
    </xf>
    <xf numFmtId="14" fontId="10" fillId="10" borderId="21" xfId="0" applyNumberFormat="1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vertical="center"/>
    </xf>
    <xf numFmtId="3" fontId="10" fillId="10" borderId="21" xfId="0" applyNumberFormat="1" applyFont="1" applyFill="1" applyBorder="1" applyAlignment="1">
      <alignment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10" borderId="35" xfId="0" applyFont="1" applyFill="1" applyBorder="1" applyAlignment="1">
      <alignment horizontal="center" vertical="center"/>
    </xf>
    <xf numFmtId="165" fontId="10" fillId="10" borderId="36" xfId="0" applyNumberFormat="1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vertical="center"/>
    </xf>
    <xf numFmtId="3" fontId="10" fillId="10" borderId="36" xfId="0" applyNumberFormat="1" applyFont="1" applyFill="1" applyBorder="1" applyAlignment="1">
      <alignment vertical="center"/>
    </xf>
    <xf numFmtId="0" fontId="10" fillId="10" borderId="37" xfId="0" applyFont="1" applyFill="1" applyBorder="1" applyAlignment="1">
      <alignment horizontal="center" vertical="center"/>
    </xf>
    <xf numFmtId="0" fontId="10" fillId="10" borderId="38" xfId="0" applyFont="1" applyFill="1" applyBorder="1" applyAlignment="1">
      <alignment vertical="center"/>
    </xf>
    <xf numFmtId="14" fontId="10" fillId="10" borderId="39" xfId="0" applyNumberFormat="1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vertical="center"/>
    </xf>
    <xf numFmtId="3" fontId="10" fillId="10" borderId="39" xfId="0" applyNumberFormat="1" applyFont="1" applyFill="1" applyBorder="1" applyAlignment="1">
      <alignment vertical="center" wrapText="1"/>
    </xf>
    <xf numFmtId="0" fontId="10" fillId="10" borderId="40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/>
    </xf>
    <xf numFmtId="165" fontId="10" fillId="11" borderId="15" xfId="0" applyNumberFormat="1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vertical="center"/>
    </xf>
    <xf numFmtId="3" fontId="10" fillId="11" borderId="15" xfId="0" applyNumberFormat="1" applyFont="1" applyFill="1" applyBorder="1" applyAlignment="1">
      <alignment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vertical="center"/>
    </xf>
    <xf numFmtId="14" fontId="10" fillId="11" borderId="15" xfId="0" applyNumberFormat="1" applyFont="1" applyFill="1" applyBorder="1" applyAlignment="1">
      <alignment horizontal="center" vertical="center"/>
    </xf>
    <xf numFmtId="3" fontId="10" fillId="11" borderId="15" xfId="0" applyNumberFormat="1" applyFont="1" applyFill="1" applyBorder="1" applyAlignment="1">
      <alignment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20" xfId="0" applyFont="1" applyFill="1" applyBorder="1" applyAlignment="1">
      <alignment vertical="center"/>
    </xf>
    <xf numFmtId="14" fontId="10" fillId="11" borderId="21" xfId="0" applyNumberFormat="1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vertical="center"/>
    </xf>
    <xf numFmtId="3" fontId="10" fillId="11" borderId="21" xfId="0" applyNumberFormat="1" applyFont="1" applyFill="1" applyBorder="1" applyAlignment="1">
      <alignment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 vertical="center"/>
    </xf>
    <xf numFmtId="0" fontId="10" fillId="11" borderId="35" xfId="0" applyFont="1" applyFill="1" applyBorder="1" applyAlignment="1">
      <alignment horizontal="center" vertical="center"/>
    </xf>
    <xf numFmtId="165" fontId="10" fillId="11" borderId="36" xfId="0" applyNumberFormat="1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vertical="center"/>
    </xf>
    <xf numFmtId="3" fontId="10" fillId="11" borderId="36" xfId="0" applyNumberFormat="1" applyFont="1" applyFill="1" applyBorder="1" applyAlignment="1">
      <alignment vertical="center"/>
    </xf>
    <xf numFmtId="0" fontId="10" fillId="11" borderId="37" xfId="0" applyFont="1" applyFill="1" applyBorder="1" applyAlignment="1">
      <alignment horizontal="center" vertical="center"/>
    </xf>
    <xf numFmtId="0" fontId="10" fillId="11" borderId="38" xfId="0" applyFont="1" applyFill="1" applyBorder="1" applyAlignment="1">
      <alignment vertical="center"/>
    </xf>
    <xf numFmtId="14" fontId="10" fillId="11" borderId="39" xfId="0" applyNumberFormat="1" applyFont="1" applyFill="1" applyBorder="1" applyAlignment="1">
      <alignment horizontal="center" vertical="center"/>
    </xf>
    <xf numFmtId="0" fontId="10" fillId="11" borderId="39" xfId="0" applyFont="1" applyFill="1" applyBorder="1" applyAlignment="1">
      <alignment horizontal="center" vertical="center"/>
    </xf>
    <xf numFmtId="0" fontId="10" fillId="11" borderId="39" xfId="0" applyFont="1" applyFill="1" applyBorder="1" applyAlignment="1">
      <alignment vertical="center"/>
    </xf>
    <xf numFmtId="3" fontId="10" fillId="11" borderId="39" xfId="0" applyNumberFormat="1" applyFont="1" applyFill="1" applyBorder="1" applyAlignment="1">
      <alignment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/>
    </xf>
    <xf numFmtId="165" fontId="10" fillId="3" borderId="15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3" fontId="10" fillId="3" borderId="15" xfId="0" applyNumberFormat="1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vertical="center"/>
    </xf>
    <xf numFmtId="14" fontId="10" fillId="3" borderId="15" xfId="0" applyNumberFormat="1" applyFont="1" applyFill="1" applyBorder="1" applyAlignment="1">
      <alignment horizontal="center" vertical="center"/>
    </xf>
    <xf numFmtId="3" fontId="10" fillId="3" borderId="15" xfId="0" applyNumberFormat="1" applyFont="1" applyFill="1" applyBorder="1" applyAlignment="1">
      <alignment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vertical="center"/>
    </xf>
    <xf numFmtId="14" fontId="10" fillId="3" borderId="21" xfId="0" applyNumberFormat="1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vertical="center"/>
    </xf>
    <xf numFmtId="3" fontId="10" fillId="3" borderId="21" xfId="0" applyNumberFormat="1" applyFont="1" applyFill="1" applyBorder="1" applyAlignment="1">
      <alignment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165" fontId="10" fillId="3" borderId="36" xfId="0" applyNumberFormat="1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vertical="center"/>
    </xf>
    <xf numFmtId="3" fontId="10" fillId="3" borderId="36" xfId="0" applyNumberFormat="1" applyFont="1" applyFill="1" applyBorder="1" applyAlignment="1">
      <alignment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vertical="center"/>
    </xf>
    <xf numFmtId="14" fontId="10" fillId="3" borderId="39" xfId="0" applyNumberFormat="1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vertical="center"/>
    </xf>
    <xf numFmtId="3" fontId="10" fillId="3" borderId="39" xfId="0" applyNumberFormat="1" applyFont="1" applyFill="1" applyBorder="1" applyAlignment="1">
      <alignment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vertical="center"/>
    </xf>
    <xf numFmtId="3" fontId="10" fillId="2" borderId="15" xfId="0" applyNumberFormat="1" applyFont="1" applyFill="1" applyBorder="1" applyAlignment="1">
      <alignment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vertical="center"/>
    </xf>
    <xf numFmtId="14" fontId="10" fillId="2" borderId="15" xfId="0" applyNumberFormat="1" applyFont="1" applyFill="1" applyBorder="1" applyAlignment="1">
      <alignment horizontal="center" vertical="center"/>
    </xf>
    <xf numFmtId="3" fontId="10" fillId="2" borderId="15" xfId="0" applyNumberFormat="1" applyFont="1" applyFill="1" applyBorder="1" applyAlignment="1">
      <alignment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vertical="center"/>
    </xf>
    <xf numFmtId="14" fontId="10" fillId="2" borderId="21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vertical="center"/>
    </xf>
    <xf numFmtId="3" fontId="10" fillId="2" borderId="21" xfId="0" applyNumberFormat="1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5" fontId="7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66" fontId="6" fillId="2" borderId="35" xfId="1" applyNumberFormat="1" applyFont="1" applyFill="1" applyBorder="1" applyAlignment="1">
      <alignment vertical="center"/>
    </xf>
    <xf numFmtId="166" fontId="6" fillId="2" borderId="57" xfId="1" applyNumberFormat="1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166" fontId="2" fillId="2" borderId="42" xfId="1" applyNumberFormat="1" applyFont="1" applyFill="1" applyBorder="1" applyAlignment="1">
      <alignment vertical="center"/>
    </xf>
    <xf numFmtId="166" fontId="2" fillId="2" borderId="34" xfId="1" applyNumberFormat="1" applyFont="1" applyFill="1" applyBorder="1" applyAlignment="1">
      <alignment vertical="center"/>
    </xf>
    <xf numFmtId="165" fontId="2" fillId="2" borderId="0" xfId="0" applyNumberFormat="1" applyFont="1" applyFill="1" applyAlignment="1">
      <alignment horizontal="center" vertical="center"/>
    </xf>
    <xf numFmtId="14" fontId="6" fillId="11" borderId="8" xfId="0" applyNumberFormat="1" applyFont="1" applyFill="1" applyBorder="1" applyAlignment="1">
      <alignment horizontal="center" vertical="center"/>
    </xf>
    <xf numFmtId="165" fontId="6" fillId="11" borderId="9" xfId="0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vertical="center"/>
    </xf>
    <xf numFmtId="3" fontId="6" fillId="11" borderId="9" xfId="0" applyNumberFormat="1" applyFont="1" applyFill="1" applyBorder="1" applyAlignment="1">
      <alignment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49" xfId="0" applyFont="1" applyFill="1" applyBorder="1" applyAlignment="1">
      <alignment vertical="center"/>
    </xf>
    <xf numFmtId="14" fontId="6" fillId="11" borderId="50" xfId="0" applyNumberFormat="1" applyFont="1" applyFill="1" applyBorder="1" applyAlignment="1">
      <alignment horizontal="center" vertical="center"/>
    </xf>
    <xf numFmtId="0" fontId="6" fillId="11" borderId="50" xfId="0" applyFont="1" applyFill="1" applyBorder="1" applyAlignment="1">
      <alignment horizontal="center" vertical="center"/>
    </xf>
    <xf numFmtId="0" fontId="3" fillId="11" borderId="50" xfId="0" applyFont="1" applyFill="1" applyBorder="1" applyAlignment="1">
      <alignment vertical="center"/>
    </xf>
    <xf numFmtId="0" fontId="6" fillId="11" borderId="50" xfId="0" applyFont="1" applyFill="1" applyBorder="1" applyAlignment="1">
      <alignment vertical="center"/>
    </xf>
    <xf numFmtId="3" fontId="6" fillId="11" borderId="50" xfId="0" applyNumberFormat="1" applyFont="1" applyFill="1" applyBorder="1" applyAlignment="1">
      <alignment vertical="center" wrapText="1"/>
    </xf>
    <xf numFmtId="0" fontId="6" fillId="11" borderId="51" xfId="0" applyFont="1" applyFill="1" applyBorder="1" applyAlignment="1">
      <alignment horizontal="center" vertical="center" wrapText="1"/>
    </xf>
    <xf numFmtId="166" fontId="2" fillId="11" borderId="49" xfId="1" applyNumberFormat="1" applyFont="1" applyFill="1" applyBorder="1" applyAlignment="1">
      <alignment vertical="center"/>
    </xf>
    <xf numFmtId="166" fontId="2" fillId="11" borderId="55" xfId="1" applyNumberFormat="1" applyFont="1" applyFill="1" applyBorder="1" applyAlignment="1">
      <alignment vertical="center"/>
    </xf>
    <xf numFmtId="0" fontId="6" fillId="11" borderId="14" xfId="0" applyFont="1" applyFill="1" applyBorder="1" applyAlignment="1">
      <alignment horizontal="left" vertical="center"/>
    </xf>
    <xf numFmtId="165" fontId="6" fillId="11" borderId="15" xfId="0" applyNumberFormat="1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3" fontId="6" fillId="11" borderId="15" xfId="0" applyNumberFormat="1" applyFont="1" applyFill="1" applyBorder="1" applyAlignment="1">
      <alignment vertical="center"/>
    </xf>
    <xf numFmtId="0" fontId="6" fillId="11" borderId="17" xfId="0" applyFont="1" applyFill="1" applyBorder="1" applyAlignment="1">
      <alignment vertical="center"/>
    </xf>
    <xf numFmtId="14" fontId="6" fillId="11" borderId="18" xfId="0" applyNumberFormat="1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vertical="center"/>
    </xf>
    <xf numFmtId="0" fontId="6" fillId="11" borderId="18" xfId="0" applyFont="1" applyFill="1" applyBorder="1" applyAlignment="1">
      <alignment vertical="center"/>
    </xf>
    <xf numFmtId="3" fontId="6" fillId="11" borderId="18" xfId="0" applyNumberFormat="1" applyFont="1" applyFill="1" applyBorder="1" applyAlignment="1">
      <alignment vertical="center" wrapText="1"/>
    </xf>
    <xf numFmtId="0" fontId="6" fillId="11" borderId="19" xfId="0" applyFont="1" applyFill="1" applyBorder="1" applyAlignment="1">
      <alignment horizontal="center" vertical="center" wrapText="1"/>
    </xf>
    <xf numFmtId="166" fontId="2" fillId="11" borderId="17" xfId="1" applyNumberFormat="1" applyFont="1" applyFill="1" applyBorder="1" applyAlignment="1">
      <alignment vertical="center"/>
    </xf>
    <xf numFmtId="166" fontId="2" fillId="11" borderId="56" xfId="1" applyNumberFormat="1" applyFont="1" applyFill="1" applyBorder="1" applyAlignment="1">
      <alignment vertical="center"/>
    </xf>
    <xf numFmtId="0" fontId="6" fillId="11" borderId="14" xfId="0" applyFont="1" applyFill="1" applyBorder="1" applyAlignment="1">
      <alignment horizontal="center" vertical="center"/>
    </xf>
    <xf numFmtId="3" fontId="6" fillId="11" borderId="21" xfId="0" applyNumberFormat="1" applyFont="1" applyFill="1" applyBorder="1" applyAlignment="1">
      <alignment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/>
    </xf>
    <xf numFmtId="165" fontId="6" fillId="12" borderId="15" xfId="0" applyNumberFormat="1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vertical="center"/>
    </xf>
    <xf numFmtId="3" fontId="6" fillId="12" borderId="15" xfId="0" applyNumberFormat="1" applyFont="1" applyFill="1" applyBorder="1" applyAlignment="1">
      <alignment vertical="center"/>
    </xf>
    <xf numFmtId="0" fontId="6" fillId="12" borderId="16" xfId="0" applyFont="1" applyFill="1" applyBorder="1" applyAlignment="1">
      <alignment horizontal="center" vertical="center"/>
    </xf>
    <xf numFmtId="0" fontId="6" fillId="12" borderId="20" xfId="0" applyFont="1" applyFill="1" applyBorder="1" applyAlignment="1">
      <alignment vertical="center"/>
    </xf>
    <xf numFmtId="14" fontId="6" fillId="12" borderId="21" xfId="0" applyNumberFormat="1" applyFont="1" applyFill="1" applyBorder="1" applyAlignment="1">
      <alignment horizontal="center" vertical="center"/>
    </xf>
    <xf numFmtId="0" fontId="6" fillId="12" borderId="2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vertical="center"/>
    </xf>
    <xf numFmtId="0" fontId="6" fillId="12" borderId="21" xfId="0" applyFont="1" applyFill="1" applyBorder="1" applyAlignment="1">
      <alignment vertical="center"/>
    </xf>
    <xf numFmtId="3" fontId="6" fillId="12" borderId="21" xfId="0" applyNumberFormat="1" applyFont="1" applyFill="1" applyBorder="1" applyAlignment="1">
      <alignment vertical="center" wrapText="1"/>
    </xf>
    <xf numFmtId="0" fontId="6" fillId="12" borderId="22" xfId="0" applyFont="1" applyFill="1" applyBorder="1" applyAlignment="1">
      <alignment horizontal="center" vertical="center" wrapText="1"/>
    </xf>
    <xf numFmtId="166" fontId="2" fillId="12" borderId="17" xfId="1" applyNumberFormat="1" applyFont="1" applyFill="1" applyBorder="1" applyAlignment="1">
      <alignment vertical="center"/>
    </xf>
    <xf numFmtId="166" fontId="2" fillId="12" borderId="56" xfId="1" applyNumberFormat="1" applyFont="1" applyFill="1" applyBorder="1" applyAlignment="1">
      <alignment vertical="center"/>
    </xf>
    <xf numFmtId="166" fontId="3" fillId="12" borderId="17" xfId="1" applyNumberFormat="1" applyFont="1" applyFill="1" applyBorder="1" applyAlignment="1">
      <alignment vertical="center"/>
    </xf>
    <xf numFmtId="166" fontId="5" fillId="12" borderId="56" xfId="1" applyNumberFormat="1" applyFont="1" applyFill="1" applyBorder="1" applyAlignment="1">
      <alignment vertical="center"/>
    </xf>
    <xf numFmtId="166" fontId="5" fillId="12" borderId="17" xfId="1" applyNumberFormat="1" applyFont="1" applyFill="1" applyBorder="1" applyAlignment="1">
      <alignment vertical="center"/>
    </xf>
    <xf numFmtId="166" fontId="6" fillId="12" borderId="17" xfId="1" applyNumberFormat="1" applyFont="1" applyFill="1" applyBorder="1" applyAlignment="1">
      <alignment vertical="center"/>
    </xf>
    <xf numFmtId="166" fontId="5" fillId="12" borderId="56" xfId="1" applyNumberFormat="1" applyFont="1" applyFill="1" applyBorder="1" applyAlignment="1">
      <alignment horizontal="center" vertical="center"/>
    </xf>
    <xf numFmtId="14" fontId="6" fillId="0" borderId="18" xfId="0" applyNumberFormat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vertical="center"/>
    </xf>
    <xf numFmtId="166" fontId="2" fillId="0" borderId="17" xfId="1" applyNumberFormat="1" applyFont="1" applyFill="1" applyBorder="1" applyAlignment="1">
      <alignment vertical="center"/>
    </xf>
    <xf numFmtId="166" fontId="2" fillId="0" borderId="56" xfId="1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vertical="center"/>
    </xf>
    <xf numFmtId="3" fontId="6" fillId="0" borderId="21" xfId="0" applyNumberFormat="1" applyFont="1" applyFill="1" applyBorder="1" applyAlignment="1">
      <alignment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3" fontId="3" fillId="2" borderId="9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/>
    </xf>
    <xf numFmtId="165" fontId="2" fillId="2" borderId="15" xfId="0" applyNumberFormat="1" applyFont="1" applyFill="1" applyBorder="1" applyAlignment="1">
      <alignment horizontal="center" vertical="center"/>
    </xf>
    <xf numFmtId="3" fontId="2" fillId="2" borderId="15" xfId="0" applyNumberFormat="1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14" fontId="2" fillId="2" borderId="1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3" fontId="2" fillId="2" borderId="18" xfId="0" applyNumberFormat="1" applyFont="1" applyFill="1" applyBorder="1" applyAlignment="1">
      <alignment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4" fillId="0" borderId="7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2" fillId="0" borderId="70" xfId="0" applyNumberFormat="1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2" fillId="0" borderId="70" xfId="0" applyFont="1" applyBorder="1" applyAlignment="1">
      <alignment horizontal="left" vertical="center"/>
    </xf>
    <xf numFmtId="166" fontId="6" fillId="0" borderId="70" xfId="1" applyNumberFormat="1" applyFont="1" applyBorder="1" applyAlignment="1">
      <alignment horizontal="center" vertical="center"/>
    </xf>
    <xf numFmtId="166" fontId="2" fillId="0" borderId="70" xfId="1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4" fontId="2" fillId="0" borderId="72" xfId="0" applyNumberFormat="1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166" fontId="2" fillId="0" borderId="70" xfId="1" applyNumberFormat="1" applyFont="1" applyBorder="1" applyAlignment="1">
      <alignment horizontal="center" vertical="center"/>
    </xf>
    <xf numFmtId="166" fontId="2" fillId="0" borderId="70" xfId="1" applyNumberFormat="1" applyFont="1" applyBorder="1" applyAlignment="1">
      <alignment horizontal="center" vertical="center" wrapText="1"/>
    </xf>
    <xf numFmtId="166" fontId="2" fillId="0" borderId="70" xfId="1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6" fontId="6" fillId="8" borderId="35" xfId="1" applyNumberFormat="1" applyFont="1" applyFill="1" applyBorder="1" applyAlignment="1">
      <alignment vertical="center"/>
    </xf>
    <xf numFmtId="166" fontId="6" fillId="8" borderId="57" xfId="1" applyNumberFormat="1" applyFont="1" applyFill="1" applyBorder="1" applyAlignment="1">
      <alignment vertical="center"/>
    </xf>
    <xf numFmtId="166" fontId="2" fillId="10" borderId="49" xfId="1" applyNumberFormat="1" applyFont="1" applyFill="1" applyBorder="1" applyAlignment="1">
      <alignment vertical="center"/>
    </xf>
    <xf numFmtId="166" fontId="2" fillId="10" borderId="55" xfId="1" applyNumberFormat="1" applyFont="1" applyFill="1" applyBorder="1" applyAlignment="1">
      <alignment vertical="center"/>
    </xf>
    <xf numFmtId="166" fontId="2" fillId="10" borderId="17" xfId="1" applyNumberFormat="1" applyFont="1" applyFill="1" applyBorder="1" applyAlignment="1">
      <alignment vertical="center"/>
    </xf>
    <xf numFmtId="166" fontId="2" fillId="10" borderId="56" xfId="1" applyNumberFormat="1" applyFont="1" applyFill="1" applyBorder="1" applyAlignment="1">
      <alignment vertical="center"/>
    </xf>
    <xf numFmtId="166" fontId="5" fillId="10" borderId="20" xfId="1" applyNumberFormat="1" applyFont="1" applyFill="1" applyBorder="1" applyAlignment="1">
      <alignment vertical="center"/>
    </xf>
    <xf numFmtId="166" fontId="5" fillId="10" borderId="58" xfId="1" applyNumberFormat="1" applyFont="1" applyFill="1" applyBorder="1" applyAlignment="1">
      <alignment vertical="center"/>
    </xf>
    <xf numFmtId="166" fontId="2" fillId="10" borderId="38" xfId="1" applyNumberFormat="1" applyFont="1" applyFill="1" applyBorder="1" applyAlignment="1">
      <alignment vertical="center"/>
    </xf>
    <xf numFmtId="166" fontId="3" fillId="10" borderId="59" xfId="1" applyNumberFormat="1" applyFont="1" applyFill="1" applyBorder="1" applyAlignment="1">
      <alignment vertical="center"/>
    </xf>
    <xf numFmtId="166" fontId="2" fillId="11" borderId="14" xfId="1" applyNumberFormat="1" applyFont="1" applyFill="1" applyBorder="1" applyAlignment="1">
      <alignment vertical="center"/>
    </xf>
    <xf numFmtId="166" fontId="2" fillId="11" borderId="64" xfId="1" applyNumberFormat="1" applyFont="1" applyFill="1" applyBorder="1" applyAlignment="1">
      <alignment vertical="center"/>
    </xf>
    <xf numFmtId="166" fontId="2" fillId="11" borderId="20" xfId="1" applyNumberFormat="1" applyFont="1" applyFill="1" applyBorder="1" applyAlignment="1">
      <alignment vertical="center"/>
    </xf>
    <xf numFmtId="166" fontId="2" fillId="11" borderId="58" xfId="1" applyNumberFormat="1" applyFont="1" applyFill="1" applyBorder="1" applyAlignment="1">
      <alignment vertical="center"/>
    </xf>
    <xf numFmtId="166" fontId="5" fillId="11" borderId="58" xfId="1" applyNumberFormat="1" applyFont="1" applyFill="1" applyBorder="1" applyAlignment="1">
      <alignment vertical="center"/>
    </xf>
    <xf numFmtId="166" fontId="2" fillId="11" borderId="38" xfId="1" applyNumberFormat="1" applyFont="1" applyFill="1" applyBorder="1" applyAlignment="1">
      <alignment vertical="center"/>
    </xf>
    <xf numFmtId="166" fontId="5" fillId="11" borderId="59" xfId="1" applyNumberFormat="1" applyFont="1" applyFill="1" applyBorder="1" applyAlignment="1">
      <alignment vertical="center"/>
    </xf>
    <xf numFmtId="166" fontId="2" fillId="3" borderId="14" xfId="1" applyNumberFormat="1" applyFont="1" applyFill="1" applyBorder="1" applyAlignment="1">
      <alignment vertical="center"/>
    </xf>
    <xf numFmtId="166" fontId="2" fillId="3" borderId="64" xfId="1" applyNumberFormat="1" applyFont="1" applyFill="1" applyBorder="1" applyAlignment="1">
      <alignment vertical="center"/>
    </xf>
    <xf numFmtId="166" fontId="2" fillId="3" borderId="20" xfId="1" applyNumberFormat="1" applyFont="1" applyFill="1" applyBorder="1" applyAlignment="1">
      <alignment vertical="center"/>
    </xf>
    <xf numFmtId="166" fontId="2" fillId="3" borderId="58" xfId="1" applyNumberFormat="1" applyFont="1" applyFill="1" applyBorder="1" applyAlignment="1">
      <alignment vertical="center"/>
    </xf>
    <xf numFmtId="166" fontId="2" fillId="3" borderId="38" xfId="1" applyNumberFormat="1" applyFont="1" applyFill="1" applyBorder="1" applyAlignment="1">
      <alignment vertical="center"/>
    </xf>
    <xf numFmtId="166" fontId="2" fillId="3" borderId="59" xfId="1" applyNumberFormat="1" applyFont="1" applyFill="1" applyBorder="1" applyAlignment="1">
      <alignment vertical="center"/>
    </xf>
    <xf numFmtId="166" fontId="2" fillId="2" borderId="14" xfId="1" applyNumberFormat="1" applyFont="1" applyFill="1" applyBorder="1" applyAlignment="1">
      <alignment vertical="center"/>
    </xf>
    <xf numFmtId="166" fontId="2" fillId="2" borderId="20" xfId="1" applyNumberFormat="1" applyFont="1" applyFill="1" applyBorder="1" applyAlignment="1">
      <alignment vertical="center"/>
    </xf>
    <xf numFmtId="166" fontId="2" fillId="2" borderId="58" xfId="1" applyNumberFormat="1" applyFont="1" applyFill="1" applyBorder="1" applyAlignment="1">
      <alignment vertical="center"/>
    </xf>
    <xf numFmtId="166" fontId="5" fillId="2" borderId="58" xfId="1" applyNumberFormat="1" applyFont="1" applyFill="1" applyBorder="1" applyAlignment="1">
      <alignment vertical="center"/>
    </xf>
    <xf numFmtId="0" fontId="6" fillId="0" borderId="72" xfId="0" applyFont="1" applyBorder="1" applyAlignment="1">
      <alignment horizontal="left" vertical="center"/>
    </xf>
    <xf numFmtId="0" fontId="12" fillId="0" borderId="70" xfId="0" applyFont="1" applyBorder="1" applyAlignment="1">
      <alignment horizontal="left" vertical="center"/>
    </xf>
    <xf numFmtId="166" fontId="12" fillId="0" borderId="70" xfId="1" applyNumberFormat="1" applyFont="1" applyBorder="1" applyAlignment="1">
      <alignment horizontal="center" vertical="center"/>
    </xf>
    <xf numFmtId="14" fontId="11" fillId="0" borderId="70" xfId="0" applyNumberFormat="1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0" xfId="0" applyFont="1" applyBorder="1" applyAlignment="1">
      <alignment horizontal="left" vertical="center"/>
    </xf>
    <xf numFmtId="14" fontId="12" fillId="0" borderId="70" xfId="0" applyNumberFormat="1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166" fontId="5" fillId="2" borderId="64" xfId="1" applyNumberFormat="1" applyFont="1" applyFill="1" applyBorder="1" applyAlignment="1">
      <alignment vertical="center"/>
    </xf>
    <xf numFmtId="166" fontId="5" fillId="0" borderId="64" xfId="1" applyNumberFormat="1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2" fillId="0" borderId="70" xfId="0" applyFont="1" applyBorder="1" applyAlignment="1">
      <alignment horizontal="center" vertical="center"/>
    </xf>
    <xf numFmtId="166" fontId="5" fillId="3" borderId="58" xfId="1" applyNumberFormat="1" applyFont="1" applyFill="1" applyBorder="1" applyAlignment="1">
      <alignment vertical="center"/>
    </xf>
    <xf numFmtId="166" fontId="5" fillId="3" borderId="59" xfId="1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left"/>
    </xf>
    <xf numFmtId="166" fontId="2" fillId="3" borderId="24" xfId="1" applyNumberFormat="1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3" fillId="3" borderId="35" xfId="0" applyFont="1" applyFill="1" applyBorder="1" applyAlignment="1">
      <alignment horizontal="left"/>
    </xf>
    <xf numFmtId="165" fontId="2" fillId="3" borderId="36" xfId="0" applyNumberFormat="1" applyFont="1" applyFill="1" applyBorder="1" applyAlignment="1">
      <alignment horizontal="left"/>
    </xf>
    <xf numFmtId="0" fontId="2" fillId="3" borderId="36" xfId="0" applyFont="1" applyFill="1" applyBorder="1" applyAlignment="1">
      <alignment horizontal="left"/>
    </xf>
    <xf numFmtId="0" fontId="2" fillId="3" borderId="37" xfId="0" applyFont="1" applyFill="1" applyBorder="1" applyAlignment="1">
      <alignment horizontal="left"/>
    </xf>
    <xf numFmtId="0" fontId="6" fillId="3" borderId="38" xfId="0" applyFont="1" applyFill="1" applyBorder="1" applyAlignment="1">
      <alignment vertical="center"/>
    </xf>
    <xf numFmtId="14" fontId="6" fillId="3" borderId="39" xfId="0" applyNumberFormat="1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vertical="center"/>
    </xf>
    <xf numFmtId="0" fontId="6" fillId="3" borderId="40" xfId="0" applyFont="1" applyFill="1" applyBorder="1" applyAlignment="1">
      <alignment horizontal="center" vertical="center"/>
    </xf>
    <xf numFmtId="166" fontId="2" fillId="3" borderId="57" xfId="1" applyNumberFormat="1" applyFont="1" applyFill="1" applyBorder="1"/>
    <xf numFmtId="166" fontId="2" fillId="3" borderId="52" xfId="1" applyNumberFormat="1" applyFont="1" applyFill="1" applyBorder="1"/>
    <xf numFmtId="0" fontId="2" fillId="0" borderId="15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6" fillId="0" borderId="20" xfId="0" applyFont="1" applyFill="1" applyBorder="1" applyAlignment="1">
      <alignment vertical="center"/>
    </xf>
    <xf numFmtId="14" fontId="6" fillId="0" borderId="21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left"/>
    </xf>
    <xf numFmtId="165" fontId="2" fillId="0" borderId="36" xfId="0" applyNumberFormat="1" applyFont="1" applyFill="1" applyBorder="1" applyAlignment="1">
      <alignment horizontal="left"/>
    </xf>
    <xf numFmtId="0" fontId="2" fillId="0" borderId="36" xfId="0" applyFont="1" applyFill="1" applyBorder="1" applyAlignment="1">
      <alignment horizontal="left"/>
    </xf>
    <xf numFmtId="0" fontId="2" fillId="0" borderId="37" xfId="0" applyFont="1" applyFill="1" applyBorder="1" applyAlignment="1">
      <alignment horizontal="left"/>
    </xf>
    <xf numFmtId="0" fontId="6" fillId="0" borderId="38" xfId="0" applyFont="1" applyFill="1" applyBorder="1" applyAlignment="1">
      <alignment vertical="center"/>
    </xf>
    <xf numFmtId="14" fontId="6" fillId="0" borderId="39" xfId="0" applyNumberFormat="1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horizontal="center" vertical="center"/>
    </xf>
    <xf numFmtId="166" fontId="2" fillId="0" borderId="72" xfId="1" applyNumberFormat="1" applyFont="1" applyBorder="1" applyAlignment="1">
      <alignment horizontal="left" vertical="center" wrapText="1"/>
    </xf>
    <xf numFmtId="0" fontId="10" fillId="0" borderId="21" xfId="0" applyFont="1" applyFill="1" applyBorder="1" applyAlignment="1">
      <alignment vertical="center"/>
    </xf>
    <xf numFmtId="0" fontId="9" fillId="0" borderId="14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vertical="center"/>
    </xf>
    <xf numFmtId="14" fontId="10" fillId="2" borderId="18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3" fontId="10" fillId="2" borderId="18" xfId="0" applyNumberFormat="1" applyFont="1" applyFill="1" applyBorder="1" applyAlignment="1">
      <alignment vertical="center" wrapText="1"/>
    </xf>
    <xf numFmtId="0" fontId="10" fillId="2" borderId="19" xfId="0" applyFont="1" applyFill="1" applyBorder="1" applyAlignment="1">
      <alignment horizontal="center" vertical="center" wrapText="1"/>
    </xf>
    <xf numFmtId="166" fontId="2" fillId="2" borderId="17" xfId="1" applyNumberFormat="1" applyFont="1" applyFill="1" applyBorder="1" applyAlignment="1">
      <alignment vertical="center"/>
    </xf>
    <xf numFmtId="166" fontId="2" fillId="2" borderId="56" xfId="1" applyNumberFormat="1" applyFont="1" applyFill="1" applyBorder="1" applyAlignment="1">
      <alignment vertical="center"/>
    </xf>
    <xf numFmtId="0" fontId="7" fillId="0" borderId="14" xfId="0" applyFont="1" applyFill="1" applyBorder="1" applyAlignment="1">
      <alignment horizontal="left" vertical="center"/>
    </xf>
    <xf numFmtId="165" fontId="7" fillId="0" borderId="1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vertical="center"/>
    </xf>
    <xf numFmtId="166" fontId="2" fillId="0" borderId="15" xfId="1" applyNumberFormat="1" applyFont="1" applyFill="1" applyBorder="1" applyAlignment="1">
      <alignment horizontal="right"/>
    </xf>
    <xf numFmtId="14" fontId="6" fillId="0" borderId="76" xfId="0" applyNumberFormat="1" applyFont="1" applyFill="1" applyBorder="1" applyAlignment="1">
      <alignment horizontal="center" vertical="center"/>
    </xf>
    <xf numFmtId="0" fontId="6" fillId="0" borderId="76" xfId="0" applyFont="1" applyFill="1" applyBorder="1" applyAlignment="1">
      <alignment horizontal="center" vertical="center"/>
    </xf>
    <xf numFmtId="0" fontId="3" fillId="0" borderId="76" xfId="0" applyFont="1" applyFill="1" applyBorder="1" applyAlignment="1">
      <alignment vertical="center"/>
    </xf>
    <xf numFmtId="0" fontId="6" fillId="0" borderId="76" xfId="0" applyFont="1" applyFill="1" applyBorder="1" applyAlignment="1">
      <alignment vertical="center"/>
    </xf>
    <xf numFmtId="3" fontId="6" fillId="0" borderId="76" xfId="0" applyNumberFormat="1" applyFont="1" applyFill="1" applyBorder="1" applyAlignment="1">
      <alignment vertical="center" wrapText="1"/>
    </xf>
    <xf numFmtId="0" fontId="6" fillId="0" borderId="75" xfId="0" applyFont="1" applyFill="1" applyBorder="1" applyAlignment="1">
      <alignment horizontal="center" vertical="center" wrapText="1"/>
    </xf>
    <xf numFmtId="166" fontId="2" fillId="0" borderId="77" xfId="1" applyNumberFormat="1" applyFont="1" applyFill="1" applyBorder="1" applyAlignment="1">
      <alignment vertical="center"/>
    </xf>
    <xf numFmtId="166" fontId="2" fillId="0" borderId="78" xfId="1" applyNumberFormat="1" applyFont="1" applyFill="1" applyBorder="1" applyAlignment="1">
      <alignment vertical="center"/>
    </xf>
    <xf numFmtId="14" fontId="6" fillId="0" borderId="79" xfId="0" applyNumberFormat="1" applyFont="1" applyFill="1" applyBorder="1" applyAlignment="1">
      <alignment horizontal="center" vertical="center"/>
    </xf>
    <xf numFmtId="0" fontId="6" fillId="0" borderId="79" xfId="0" applyFont="1" applyFill="1" applyBorder="1" applyAlignment="1">
      <alignment horizontal="center" vertical="center"/>
    </xf>
    <xf numFmtId="166" fontId="2" fillId="0" borderId="80" xfId="1" applyNumberFormat="1" applyFont="1" applyFill="1" applyBorder="1" applyAlignment="1">
      <alignment vertical="center"/>
    </xf>
    <xf numFmtId="166" fontId="2" fillId="0" borderId="81" xfId="1" applyNumberFormat="1" applyFont="1" applyFill="1" applyBorder="1" applyAlignment="1">
      <alignment vertical="center"/>
    </xf>
    <xf numFmtId="0" fontId="6" fillId="0" borderId="82" xfId="0" applyFont="1" applyFill="1" applyBorder="1" applyAlignment="1">
      <alignment vertical="center"/>
    </xf>
    <xf numFmtId="0" fontId="10" fillId="2" borderId="77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6" fillId="0" borderId="73" xfId="0" applyFont="1" applyFill="1" applyBorder="1" applyAlignment="1">
      <alignment horizontal="center" vertical="center"/>
    </xf>
    <xf numFmtId="0" fontId="9" fillId="0" borderId="73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vertical="center"/>
    </xf>
    <xf numFmtId="0" fontId="9" fillId="0" borderId="73" xfId="0" applyFont="1" applyFill="1" applyBorder="1" applyAlignment="1">
      <alignment vertical="center"/>
    </xf>
    <xf numFmtId="14" fontId="6" fillId="0" borderId="15" xfId="0" applyNumberFormat="1" applyFont="1" applyFill="1" applyBorder="1" applyAlignment="1">
      <alignment vertical="center"/>
    </xf>
    <xf numFmtId="166" fontId="5" fillId="0" borderId="64" xfId="1" applyNumberFormat="1" applyFont="1" applyFill="1" applyBorder="1" applyAlignment="1">
      <alignment horizontal="right" vertical="center"/>
    </xf>
    <xf numFmtId="3" fontId="9" fillId="0" borderId="15" xfId="0" applyNumberFormat="1" applyFont="1" applyFill="1" applyBorder="1" applyAlignment="1">
      <alignment vertical="center"/>
    </xf>
    <xf numFmtId="0" fontId="6" fillId="0" borderId="83" xfId="0" applyFont="1" applyFill="1" applyBorder="1" applyAlignment="1">
      <alignment vertical="center"/>
    </xf>
    <xf numFmtId="3" fontId="6" fillId="0" borderId="8" xfId="0" applyNumberFormat="1" applyFont="1" applyFill="1" applyBorder="1" applyAlignment="1">
      <alignment vertical="center" wrapText="1"/>
    </xf>
    <xf numFmtId="3" fontId="6" fillId="0" borderId="14" xfId="0" applyNumberFormat="1" applyFont="1" applyFill="1" applyBorder="1" applyAlignment="1">
      <alignment vertical="center" wrapText="1"/>
    </xf>
    <xf numFmtId="166" fontId="2" fillId="0" borderId="64" xfId="1" applyNumberFormat="1" applyFont="1" applyFill="1" applyBorder="1" applyAlignment="1">
      <alignment horizontal="right" vertical="center"/>
    </xf>
    <xf numFmtId="166" fontId="8" fillId="2" borderId="34" xfId="1" applyNumberFormat="1" applyFont="1" applyFill="1" applyBorder="1" applyAlignment="1">
      <alignment vertical="center"/>
    </xf>
    <xf numFmtId="166" fontId="6" fillId="0" borderId="64" xfId="1" applyNumberFormat="1" applyFont="1" applyFill="1" applyBorder="1" applyAlignment="1">
      <alignment vertical="center"/>
    </xf>
    <xf numFmtId="166" fontId="8" fillId="2" borderId="42" xfId="1" applyNumberFormat="1" applyFont="1" applyFill="1" applyBorder="1" applyAlignment="1">
      <alignment vertical="center"/>
    </xf>
    <xf numFmtId="166" fontId="9" fillId="2" borderId="34" xfId="0" applyNumberFormat="1" applyFont="1" applyFill="1" applyBorder="1" applyAlignment="1">
      <alignment horizontal="center" vertical="center" wrapText="1"/>
    </xf>
    <xf numFmtId="3" fontId="5" fillId="2" borderId="60" xfId="1" applyNumberFormat="1" applyFont="1" applyFill="1" applyBorder="1" applyAlignment="1">
      <alignment vertical="center"/>
    </xf>
    <xf numFmtId="0" fontId="2" fillId="0" borderId="70" xfId="1" applyNumberFormat="1" applyFont="1" applyBorder="1" applyAlignment="1">
      <alignment vertical="center" wrapText="1"/>
    </xf>
    <xf numFmtId="0" fontId="10" fillId="2" borderId="73" xfId="0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73" xfId="0" applyFont="1" applyFill="1" applyBorder="1" applyAlignment="1">
      <alignment vertical="center"/>
    </xf>
    <xf numFmtId="14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vertical="center" wrapText="1"/>
    </xf>
    <xf numFmtId="0" fontId="10" fillId="2" borderId="27" xfId="0" applyFont="1" applyFill="1" applyBorder="1" applyAlignment="1">
      <alignment horizontal="center" vertical="center" wrapText="1"/>
    </xf>
    <xf numFmtId="166" fontId="2" fillId="2" borderId="0" xfId="1" applyNumberFormat="1" applyFont="1" applyFill="1" applyBorder="1" applyAlignment="1">
      <alignment vertical="center"/>
    </xf>
    <xf numFmtId="166" fontId="2" fillId="2" borderId="64" xfId="1" applyNumberFormat="1" applyFont="1" applyFill="1" applyBorder="1" applyAlignment="1">
      <alignment vertical="center"/>
    </xf>
    <xf numFmtId="3" fontId="3" fillId="2" borderId="9" xfId="0" applyNumberFormat="1" applyFont="1" applyFill="1" applyBorder="1" applyAlignment="1">
      <alignment horizontal="center" vertical="center"/>
    </xf>
    <xf numFmtId="166" fontId="5" fillId="0" borderId="70" xfId="1" applyNumberFormat="1" applyFont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/>
    </xf>
    <xf numFmtId="3" fontId="6" fillId="0" borderId="64" xfId="1" applyNumberFormat="1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166" fontId="5" fillId="2" borderId="20" xfId="1" applyNumberFormat="1" applyFont="1" applyFill="1" applyBorder="1" applyAlignment="1">
      <alignment vertical="center"/>
    </xf>
    <xf numFmtId="166" fontId="9" fillId="0" borderId="70" xfId="1" applyNumberFormat="1" applyFont="1" applyBorder="1" applyAlignment="1">
      <alignment horizontal="left" vertical="center" wrapText="1"/>
    </xf>
    <xf numFmtId="166" fontId="6" fillId="0" borderId="72" xfId="1" applyNumberFormat="1" applyFont="1" applyBorder="1" applyAlignment="1">
      <alignment horizontal="center" vertical="center"/>
    </xf>
    <xf numFmtId="1" fontId="6" fillId="0" borderId="64" xfId="1" applyNumberFormat="1" applyFont="1" applyFill="1" applyBorder="1" applyAlignment="1">
      <alignment horizontal="right" vertical="center"/>
    </xf>
    <xf numFmtId="0" fontId="9" fillId="0" borderId="70" xfId="0" applyFont="1" applyBorder="1" applyAlignment="1">
      <alignment horizontal="left" vertical="center" wrapText="1"/>
    </xf>
    <xf numFmtId="0" fontId="5" fillId="0" borderId="70" xfId="1" applyNumberFormat="1" applyFont="1" applyBorder="1" applyAlignment="1">
      <alignment horizontal="right" vertical="center"/>
    </xf>
    <xf numFmtId="166" fontId="5" fillId="0" borderId="70" xfId="1" applyNumberFormat="1" applyFont="1" applyBorder="1" applyAlignment="1">
      <alignment horizontal="center" vertical="center"/>
    </xf>
    <xf numFmtId="0" fontId="6" fillId="0" borderId="74" xfId="0" applyFont="1" applyFill="1" applyBorder="1" applyAlignment="1">
      <alignment horizontal="center" vertical="center"/>
    </xf>
    <xf numFmtId="0" fontId="6" fillId="2" borderId="84" xfId="0" applyFont="1" applyFill="1" applyBorder="1" applyAlignment="1">
      <alignment horizontal="center" vertical="center"/>
    </xf>
    <xf numFmtId="0" fontId="16" fillId="0" borderId="0" xfId="0" applyFont="1" applyFill="1"/>
    <xf numFmtId="0" fontId="16" fillId="0" borderId="15" xfId="0" applyFont="1" applyFill="1" applyBorder="1"/>
    <xf numFmtId="0" fontId="7" fillId="0" borderId="0" xfId="0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0" fontId="2" fillId="13" borderId="0" xfId="0" applyFont="1" applyFill="1" applyAlignment="1">
      <alignment vertical="center"/>
    </xf>
    <xf numFmtId="3" fontId="23" fillId="13" borderId="0" xfId="0" applyNumberFormat="1" applyFont="1" applyFill="1" applyAlignment="1">
      <alignment vertical="center"/>
    </xf>
    <xf numFmtId="0" fontId="23" fillId="13" borderId="0" xfId="0" applyFont="1" applyFill="1" applyAlignment="1">
      <alignment horizontal="center" vertical="center"/>
    </xf>
    <xf numFmtId="166" fontId="23" fillId="13" borderId="0" xfId="1" applyNumberFormat="1" applyFont="1" applyFill="1" applyAlignment="1">
      <alignment horizontal="left" vertical="center"/>
    </xf>
    <xf numFmtId="0" fontId="4" fillId="12" borderId="71" xfId="0" applyFont="1" applyFill="1" applyBorder="1" applyAlignment="1">
      <alignment horizontal="center" vertical="center" wrapText="1"/>
    </xf>
    <xf numFmtId="166" fontId="6" fillId="12" borderId="70" xfId="1" applyNumberFormat="1" applyFont="1" applyFill="1" applyBorder="1" applyAlignment="1">
      <alignment horizontal="center" vertical="center"/>
    </xf>
    <xf numFmtId="166" fontId="6" fillId="12" borderId="72" xfId="1" applyNumberFormat="1" applyFont="1" applyFill="1" applyBorder="1" applyAlignment="1">
      <alignment horizontal="center" vertical="center"/>
    </xf>
    <xf numFmtId="166" fontId="2" fillId="12" borderId="70" xfId="1" applyNumberFormat="1" applyFont="1" applyFill="1" applyBorder="1" applyAlignment="1">
      <alignment horizontal="center" vertical="center"/>
    </xf>
    <xf numFmtId="0" fontId="4" fillId="11" borderId="71" xfId="0" applyFont="1" applyFill="1" applyBorder="1" applyAlignment="1">
      <alignment horizontal="center" vertical="center" wrapText="1"/>
    </xf>
    <xf numFmtId="166" fontId="2" fillId="11" borderId="70" xfId="1" applyNumberFormat="1" applyFont="1" applyFill="1" applyBorder="1" applyAlignment="1">
      <alignment horizontal="center" vertical="center"/>
    </xf>
    <xf numFmtId="166" fontId="5" fillId="11" borderId="70" xfId="1" applyNumberFormat="1" applyFont="1" applyFill="1" applyBorder="1" applyAlignment="1">
      <alignment horizontal="center" vertical="center"/>
    </xf>
    <xf numFmtId="166" fontId="23" fillId="13" borderId="0" xfId="0" applyNumberFormat="1" applyFont="1" applyFill="1" applyAlignment="1">
      <alignment vertical="center"/>
    </xf>
    <xf numFmtId="165" fontId="24" fillId="13" borderId="0" xfId="0" applyNumberFormat="1" applyFont="1" applyFill="1" applyAlignment="1">
      <alignment horizontal="center" vertical="center"/>
    </xf>
    <xf numFmtId="165" fontId="25" fillId="13" borderId="0" xfId="0" applyNumberFormat="1" applyFont="1" applyFill="1" applyAlignment="1">
      <alignment horizontal="center" vertical="center"/>
    </xf>
    <xf numFmtId="165" fontId="26" fillId="13" borderId="0" xfId="0" applyNumberFormat="1" applyFont="1" applyFill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165" fontId="6" fillId="0" borderId="36" xfId="0" applyNumberFormat="1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0" fillId="0" borderId="73" xfId="0" applyFont="1" applyFill="1" applyBorder="1" applyAlignment="1">
      <alignment vertical="center"/>
    </xf>
    <xf numFmtId="0" fontId="6" fillId="13" borderId="77" xfId="0" applyFont="1" applyFill="1" applyBorder="1" applyAlignment="1">
      <alignment vertical="center"/>
    </xf>
    <xf numFmtId="0" fontId="6" fillId="13" borderId="82" xfId="0" applyFont="1" applyFill="1" applyBorder="1" applyAlignment="1">
      <alignment vertical="center"/>
    </xf>
    <xf numFmtId="0" fontId="17" fillId="0" borderId="0" xfId="0" applyFont="1" applyFill="1"/>
    <xf numFmtId="0" fontId="21" fillId="0" borderId="0" xfId="0" applyFont="1" applyFill="1" applyBorder="1" applyAlignment="1">
      <alignment horizontal="left" vertical="center"/>
    </xf>
    <xf numFmtId="0" fontId="21" fillId="0" borderId="85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center" vertical="center"/>
    </xf>
    <xf numFmtId="14" fontId="6" fillId="0" borderId="36" xfId="0" applyNumberFormat="1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vertical="center"/>
    </xf>
    <xf numFmtId="0" fontId="6" fillId="0" borderId="36" xfId="0" applyFont="1" applyFill="1" applyBorder="1" applyAlignment="1">
      <alignment vertical="center"/>
    </xf>
    <xf numFmtId="3" fontId="6" fillId="0" borderId="36" xfId="0" applyNumberFormat="1" applyFont="1" applyFill="1" applyBorder="1" applyAlignment="1">
      <alignment vertical="center" wrapText="1"/>
    </xf>
    <xf numFmtId="0" fontId="6" fillId="0" borderId="37" xfId="0" applyFont="1" applyFill="1" applyBorder="1" applyAlignment="1">
      <alignment horizontal="center" vertical="center" wrapText="1"/>
    </xf>
    <xf numFmtId="166" fontId="2" fillId="0" borderId="35" xfId="1" applyNumberFormat="1" applyFont="1" applyFill="1" applyBorder="1" applyAlignment="1">
      <alignment vertical="center"/>
    </xf>
    <xf numFmtId="166" fontId="2" fillId="0" borderId="57" xfId="1" applyNumberFormat="1" applyFont="1" applyFill="1" applyBorder="1" applyAlignment="1">
      <alignment vertical="center"/>
    </xf>
    <xf numFmtId="0" fontId="6" fillId="0" borderId="35" xfId="0" applyFont="1" applyFill="1" applyBorder="1" applyAlignment="1">
      <alignment vertical="center"/>
    </xf>
    <xf numFmtId="0" fontId="9" fillId="0" borderId="14" xfId="0" applyFont="1" applyFill="1" applyBorder="1" applyAlignment="1">
      <alignment horizontal="left" vertical="center"/>
    </xf>
    <xf numFmtId="0" fontId="2" fillId="13" borderId="0" xfId="0" applyFont="1" applyFill="1"/>
    <xf numFmtId="0" fontId="19" fillId="0" borderId="14" xfId="0" applyFont="1" applyFill="1" applyBorder="1" applyAlignment="1">
      <alignment horizontal="left" vertical="center"/>
    </xf>
    <xf numFmtId="165" fontId="19" fillId="0" borderId="15" xfId="0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left" vertical="center"/>
    </xf>
    <xf numFmtId="165" fontId="18" fillId="0" borderId="15" xfId="0" applyNumberFormat="1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166" fontId="5" fillId="11" borderId="72" xfId="1" applyNumberFormat="1" applyFont="1" applyFill="1" applyBorder="1" applyAlignment="1">
      <alignment horizontal="center" vertical="center"/>
    </xf>
    <xf numFmtId="166" fontId="6" fillId="12" borderId="70" xfId="1" applyNumberFormat="1" applyFont="1" applyFill="1" applyBorder="1" applyAlignment="1">
      <alignment horizontal="right" vertical="center"/>
    </xf>
    <xf numFmtId="166" fontId="5" fillId="11" borderId="70" xfId="1" applyNumberFormat="1" applyFont="1" applyFill="1" applyBorder="1" applyAlignment="1">
      <alignment horizontal="right" vertical="center"/>
    </xf>
    <xf numFmtId="166" fontId="12" fillId="12" borderId="70" xfId="1" applyNumberFormat="1" applyFont="1" applyFill="1" applyBorder="1" applyAlignment="1">
      <alignment horizontal="right" vertical="center"/>
    </xf>
    <xf numFmtId="166" fontId="12" fillId="11" borderId="70" xfId="1" applyNumberFormat="1" applyFont="1" applyFill="1" applyBorder="1" applyAlignment="1">
      <alignment horizontal="right" vertical="center"/>
    </xf>
    <xf numFmtId="166" fontId="6" fillId="11" borderId="70" xfId="1" applyNumberFormat="1" applyFont="1" applyFill="1" applyBorder="1" applyAlignment="1">
      <alignment horizontal="right" vertical="center"/>
    </xf>
    <xf numFmtId="0" fontId="19" fillId="0" borderId="35" xfId="0" applyFont="1" applyFill="1" applyBorder="1" applyAlignment="1">
      <alignment horizontal="left" vertical="center"/>
    </xf>
    <xf numFmtId="165" fontId="19" fillId="0" borderId="36" xfId="0" applyNumberFormat="1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20" fillId="0" borderId="3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left" vertical="center"/>
    </xf>
    <xf numFmtId="165" fontId="2" fillId="0" borderId="36" xfId="0" applyNumberFormat="1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0" borderId="73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74" xfId="0" applyFont="1" applyFill="1" applyBorder="1" applyAlignment="1">
      <alignment horizontal="left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left" vertical="center" wrapText="1"/>
    </xf>
    <xf numFmtId="0" fontId="8" fillId="2" borderId="44" xfId="0" applyFont="1" applyFill="1" applyBorder="1" applyAlignment="1">
      <alignment horizontal="left" vertical="center" wrapText="1"/>
    </xf>
    <xf numFmtId="0" fontId="8" fillId="2" borderId="45" xfId="0" applyFont="1" applyFill="1" applyBorder="1" applyAlignment="1">
      <alignment horizontal="left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6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33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A23E-8648-4666-B5CA-F2DA08EA615F}">
  <dimension ref="A1:H16"/>
  <sheetViews>
    <sheetView tabSelected="1" workbookViewId="0">
      <selection activeCell="F13" sqref="F13"/>
    </sheetView>
  </sheetViews>
  <sheetFormatPr defaultColWidth="8.85546875" defaultRowHeight="16.5"/>
  <cols>
    <col min="1" max="1" width="11.140625" style="777" customWidth="1"/>
    <col min="2" max="2" width="12" style="777" customWidth="1"/>
    <col min="3" max="3" width="15" style="777" customWidth="1"/>
    <col min="4" max="4" width="28.7109375" style="777" customWidth="1"/>
    <col min="5" max="5" width="14.42578125" style="777" customWidth="1"/>
    <col min="6" max="6" width="20.5703125" style="777" customWidth="1"/>
    <col min="7" max="7" width="13.7109375" style="777" customWidth="1"/>
    <col min="8" max="8" width="75.28515625" style="778" customWidth="1"/>
    <col min="9" max="16384" width="8.85546875" style="777"/>
  </cols>
  <sheetData>
    <row r="1" spans="1:8" s="764" customFormat="1" ht="31.9" customHeight="1" thickBot="1">
      <c r="A1" s="763" t="s">
        <v>185</v>
      </c>
      <c r="B1" s="763" t="s">
        <v>183</v>
      </c>
      <c r="C1" s="763" t="s">
        <v>169</v>
      </c>
      <c r="D1" s="763" t="s">
        <v>179</v>
      </c>
      <c r="E1" s="763" t="s">
        <v>184</v>
      </c>
      <c r="F1" s="934" t="s">
        <v>414</v>
      </c>
      <c r="G1" s="938" t="s">
        <v>413</v>
      </c>
      <c r="H1" s="763" t="s">
        <v>186</v>
      </c>
    </row>
    <row r="2" spans="1:8" s="770" customFormat="1" ht="39" customHeight="1" thickTop="1">
      <c r="A2" s="765">
        <f t="shared" ref="A2:A10" ca="1" si="0">TODAY()</f>
        <v>46254</v>
      </c>
      <c r="B2" s="766" t="s">
        <v>246</v>
      </c>
      <c r="C2" s="767" t="s">
        <v>242</v>
      </c>
      <c r="D2" s="767" t="s">
        <v>241</v>
      </c>
      <c r="E2" s="768">
        <f>5650-550-550-550-2200+5000-1100+3000-550-2200-550-1100-150+12000-1650-1650+550+12000-500-550-550-500-550-550-1100-550-550-550-550-550-550-550</f>
        <v>17250</v>
      </c>
      <c r="F2" s="935">
        <v>13295</v>
      </c>
      <c r="G2" s="940">
        <v>3955</v>
      </c>
      <c r="H2" s="899" t="s">
        <v>373</v>
      </c>
    </row>
    <row r="3" spans="1:8" s="770" customFormat="1" ht="19.899999999999999" customHeight="1">
      <c r="A3" s="765">
        <f t="shared" ca="1" si="0"/>
        <v>46254</v>
      </c>
      <c r="B3" s="766">
        <v>1419</v>
      </c>
      <c r="C3" s="767" t="s">
        <v>157</v>
      </c>
      <c r="D3" s="767" t="s">
        <v>177</v>
      </c>
      <c r="E3" s="768">
        <f>2200-550-550+4000-1050</f>
        <v>4050</v>
      </c>
      <c r="F3" s="935">
        <v>4050</v>
      </c>
      <c r="G3" s="980">
        <v>0</v>
      </c>
      <c r="H3" s="769" t="s">
        <v>388</v>
      </c>
    </row>
    <row r="4" spans="1:8" s="770" customFormat="1" ht="19.899999999999999" customHeight="1">
      <c r="A4" s="765">
        <f t="shared" ca="1" si="0"/>
        <v>46254</v>
      </c>
      <c r="B4" s="766">
        <v>1428</v>
      </c>
      <c r="C4" s="767" t="s">
        <v>243</v>
      </c>
      <c r="D4" s="767" t="s">
        <v>177</v>
      </c>
      <c r="E4" s="768">
        <f>3000-550-550-550-550+3000</f>
        <v>3800</v>
      </c>
      <c r="F4" s="935">
        <v>3800</v>
      </c>
      <c r="G4" s="980">
        <v>0</v>
      </c>
      <c r="H4" s="769" t="s">
        <v>417</v>
      </c>
    </row>
    <row r="5" spans="1:8" s="770" customFormat="1" ht="19.899999999999999" customHeight="1">
      <c r="A5" s="771">
        <f ca="1">TODAY()</f>
        <v>46254</v>
      </c>
      <c r="B5" s="772">
        <v>2249</v>
      </c>
      <c r="C5" s="806" t="s">
        <v>17</v>
      </c>
      <c r="D5" s="806" t="s">
        <v>180</v>
      </c>
      <c r="E5" s="919">
        <f>1398-1000+3000-602-1000-1000+6000-1000-602</f>
        <v>5194</v>
      </c>
      <c r="F5" s="936">
        <v>1600</v>
      </c>
      <c r="G5" s="975">
        <v>3594</v>
      </c>
      <c r="H5" s="850" t="s">
        <v>363</v>
      </c>
    </row>
    <row r="6" spans="1:8" s="770" customFormat="1" ht="19.899999999999999" customHeight="1">
      <c r="A6" s="809">
        <f t="shared" ca="1" si="0"/>
        <v>46254</v>
      </c>
      <c r="B6" s="810">
        <v>2390</v>
      </c>
      <c r="C6" s="811" t="s">
        <v>144</v>
      </c>
      <c r="D6" s="811" t="s">
        <v>182</v>
      </c>
      <c r="E6" s="922">
        <f>4000-500-500-500-550-500-500-500-500+5000-500-550-500-500-500-500+10000-500-500-500</f>
        <v>10400</v>
      </c>
      <c r="F6" s="976">
        <v>2100</v>
      </c>
      <c r="G6" s="977">
        <v>8300</v>
      </c>
      <c r="H6" s="918" t="s">
        <v>387</v>
      </c>
    </row>
    <row r="7" spans="1:8" s="770" customFormat="1" ht="19.899999999999999" customHeight="1">
      <c r="A7" s="812">
        <f t="shared" ca="1" si="0"/>
        <v>46254</v>
      </c>
      <c r="B7" s="813">
        <v>1525</v>
      </c>
      <c r="C7" s="807" t="s">
        <v>112</v>
      </c>
      <c r="D7" s="807" t="s">
        <v>181</v>
      </c>
      <c r="E7" s="808">
        <f>1578-711-711</f>
        <v>156</v>
      </c>
      <c r="F7" s="978" t="s">
        <v>175</v>
      </c>
      <c r="G7" s="979" t="s">
        <v>175</v>
      </c>
      <c r="H7" s="774"/>
    </row>
    <row r="8" spans="1:8" s="770" customFormat="1" ht="19.899999999999999" customHeight="1">
      <c r="A8" s="765">
        <f t="shared" ca="1" si="0"/>
        <v>46254</v>
      </c>
      <c r="B8" s="766">
        <v>2245</v>
      </c>
      <c r="C8" s="767" t="s">
        <v>129</v>
      </c>
      <c r="D8" s="767" t="s">
        <v>182</v>
      </c>
      <c r="E8" s="773">
        <v>0</v>
      </c>
      <c r="F8" s="937"/>
      <c r="G8" s="939"/>
      <c r="H8" s="775" t="s">
        <v>218</v>
      </c>
    </row>
    <row r="9" spans="1:8" s="770" customFormat="1">
      <c r="A9" s="765">
        <f t="shared" ca="1" si="0"/>
        <v>46254</v>
      </c>
      <c r="B9" s="817">
        <v>2975</v>
      </c>
      <c r="C9" s="767" t="s">
        <v>270</v>
      </c>
      <c r="D9" s="767" t="s">
        <v>241</v>
      </c>
      <c r="E9" s="923">
        <f>3500-550-1100-550-550-550+5000-550-550-550</f>
        <v>3550</v>
      </c>
      <c r="F9" s="935">
        <v>1285</v>
      </c>
      <c r="G9" s="940">
        <v>2265</v>
      </c>
      <c r="H9" s="921" t="s">
        <v>386</v>
      </c>
    </row>
    <row r="10" spans="1:8" s="770" customFormat="1">
      <c r="A10" s="765">
        <f t="shared" ca="1" si="0"/>
        <v>46254</v>
      </c>
      <c r="B10" s="817">
        <v>2230</v>
      </c>
      <c r="C10" s="767" t="s">
        <v>348</v>
      </c>
      <c r="D10" s="817" t="s">
        <v>349</v>
      </c>
      <c r="E10" s="773">
        <v>0</v>
      </c>
      <c r="F10" s="937"/>
      <c r="G10" s="939"/>
      <c r="H10" s="913" t="s">
        <v>362</v>
      </c>
    </row>
    <row r="11" spans="1:8" s="770" customFormat="1">
      <c r="H11" s="776"/>
    </row>
    <row r="12" spans="1:8" s="770" customFormat="1">
      <c r="H12" s="776"/>
    </row>
    <row r="13" spans="1:8" s="770" customFormat="1">
      <c r="H13" s="776"/>
    </row>
    <row r="14" spans="1:8" s="770" customFormat="1">
      <c r="H14" s="776"/>
    </row>
    <row r="15" spans="1:8" s="770" customFormat="1">
      <c r="H15" s="776"/>
    </row>
    <row r="16" spans="1:8" s="770" customFormat="1">
      <c r="H16" s="7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021B-0DD6-4461-B228-4DB8545A8568}">
  <dimension ref="A1:Q89"/>
  <sheetViews>
    <sheetView zoomScale="80" zoomScaleNormal="80" workbookViewId="0">
      <pane xSplit="7" ySplit="2" topLeftCell="H3" activePane="bottomRight" state="frozen"/>
      <selection pane="topRight" activeCell="H1" sqref="H1"/>
      <selection pane="bottomLeft" activeCell="A5" sqref="A5"/>
      <selection pane="bottomRight" activeCell="B87" sqref="B87:D89"/>
    </sheetView>
  </sheetViews>
  <sheetFormatPr defaultColWidth="9.140625" defaultRowHeight="16.5"/>
  <cols>
    <col min="1" max="1" width="13.5703125" style="660" customWidth="1"/>
    <col min="2" max="2" width="23.7109375" style="674" customWidth="1"/>
    <col min="3" max="3" width="14.140625" style="660" customWidth="1"/>
    <col min="4" max="4" width="12.28515625" style="664" customWidth="1"/>
    <col min="5" max="5" width="9.140625" style="660"/>
    <col min="6" max="6" width="8.140625" style="660" customWidth="1"/>
    <col min="7" max="7" width="7.28515625" style="664" customWidth="1"/>
    <col min="8" max="8" width="12.5703125" style="660" customWidth="1"/>
    <col min="9" max="9" width="13.140625" style="664" customWidth="1"/>
    <col min="10" max="10" width="10.85546875" style="664" customWidth="1"/>
    <col min="11" max="11" width="16.140625" style="665" customWidth="1"/>
    <col min="12" max="12" width="21.7109375" style="660" customWidth="1"/>
    <col min="13" max="13" width="16.140625" style="660" customWidth="1"/>
    <col min="14" max="14" width="10.140625" style="660" customWidth="1"/>
    <col min="15" max="15" width="14.140625" style="664" customWidth="1"/>
    <col min="16" max="17" width="10.7109375" style="666" bestFit="1" customWidth="1"/>
    <col min="18" max="16384" width="9.140625" style="660"/>
  </cols>
  <sheetData>
    <row r="1" spans="1:17" ht="17.25" thickBot="1">
      <c r="A1" s="660" t="s">
        <v>178</v>
      </c>
      <c r="B1" s="661" t="s">
        <v>240</v>
      </c>
      <c r="D1" s="662" t="s">
        <v>179</v>
      </c>
      <c r="E1" s="663" t="s">
        <v>241</v>
      </c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2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9"/>
    </row>
    <row r="4" spans="1:17" ht="12.95" customHeight="1" thickTop="1">
      <c r="A4" s="15" t="s">
        <v>244</v>
      </c>
      <c r="B4" s="16">
        <v>45881</v>
      </c>
      <c r="C4" s="17" t="s">
        <v>245</v>
      </c>
      <c r="D4" s="17">
        <v>2943</v>
      </c>
      <c r="E4" s="18" t="s">
        <v>156</v>
      </c>
      <c r="F4" s="19">
        <v>10000</v>
      </c>
      <c r="G4" s="20" t="s">
        <v>15</v>
      </c>
      <c r="H4" s="21" t="s">
        <v>253</v>
      </c>
      <c r="I4" s="22">
        <v>45909</v>
      </c>
      <c r="J4" s="17">
        <v>20014725</v>
      </c>
      <c r="K4" s="23" t="s">
        <v>242</v>
      </c>
      <c r="L4" s="18" t="s">
        <v>211</v>
      </c>
      <c r="M4" s="18" t="s">
        <v>254</v>
      </c>
      <c r="N4" s="24">
        <v>550</v>
      </c>
      <c r="O4" s="890" t="s">
        <v>254</v>
      </c>
      <c r="P4" s="891">
        <v>550</v>
      </c>
      <c r="Q4" s="25"/>
    </row>
    <row r="5" spans="1:17" ht="12.95" customHeight="1">
      <c r="A5" s="15"/>
      <c r="B5" s="16"/>
      <c r="C5" s="17"/>
      <c r="D5" s="17"/>
      <c r="E5" s="18"/>
      <c r="F5" s="19"/>
      <c r="G5" s="20"/>
      <c r="H5" s="21" t="s">
        <v>253</v>
      </c>
      <c r="I5" s="22">
        <v>45909</v>
      </c>
      <c r="J5" s="17">
        <v>20014725</v>
      </c>
      <c r="K5" s="23" t="s">
        <v>242</v>
      </c>
      <c r="L5" s="18" t="s">
        <v>255</v>
      </c>
      <c r="M5" s="18" t="s">
        <v>256</v>
      </c>
      <c r="N5" s="24">
        <v>550</v>
      </c>
      <c r="O5" s="890" t="s">
        <v>262</v>
      </c>
      <c r="P5" s="892">
        <v>550</v>
      </c>
      <c r="Q5" s="25"/>
    </row>
    <row r="6" spans="1:17" ht="12.95" customHeight="1">
      <c r="A6" s="15"/>
      <c r="B6" s="16"/>
      <c r="C6" s="17"/>
      <c r="D6" s="17"/>
      <c r="E6" s="18"/>
      <c r="F6" s="19"/>
      <c r="G6" s="20"/>
      <c r="H6" s="21" t="s">
        <v>253</v>
      </c>
      <c r="I6" s="22">
        <v>45909</v>
      </c>
      <c r="J6" s="17">
        <v>20014725</v>
      </c>
      <c r="K6" s="23" t="s">
        <v>242</v>
      </c>
      <c r="L6" s="18" t="s">
        <v>201</v>
      </c>
      <c r="M6" s="18" t="s">
        <v>262</v>
      </c>
      <c r="N6" s="24">
        <v>550</v>
      </c>
      <c r="O6" s="25" t="s">
        <v>15</v>
      </c>
      <c r="P6" s="26"/>
      <c r="Q6" s="27"/>
    </row>
    <row r="7" spans="1:17" ht="12.95" customHeight="1">
      <c r="A7" s="15"/>
      <c r="B7" s="16"/>
      <c r="C7" s="17"/>
      <c r="D7" s="17"/>
      <c r="E7" s="18"/>
      <c r="F7" s="19"/>
      <c r="G7" s="20"/>
      <c r="H7" s="21" t="s">
        <v>253</v>
      </c>
      <c r="I7" s="22">
        <v>45909</v>
      </c>
      <c r="J7" s="17">
        <v>20014725</v>
      </c>
      <c r="K7" s="23" t="s">
        <v>242</v>
      </c>
      <c r="L7" s="18" t="s">
        <v>207</v>
      </c>
      <c r="M7" s="18" t="s">
        <v>257</v>
      </c>
      <c r="N7" s="24">
        <v>550</v>
      </c>
      <c r="O7" s="25" t="s">
        <v>15</v>
      </c>
      <c r="P7" s="26"/>
      <c r="Q7" s="27"/>
    </row>
    <row r="8" spans="1:17" ht="12.95" customHeight="1">
      <c r="A8" s="15"/>
      <c r="B8" s="16"/>
      <c r="C8" s="17"/>
      <c r="D8" s="17"/>
      <c r="E8" s="18"/>
      <c r="F8" s="19"/>
      <c r="G8" s="20"/>
      <c r="H8" s="21" t="s">
        <v>258</v>
      </c>
      <c r="I8" s="22">
        <v>45909</v>
      </c>
      <c r="J8" s="17">
        <v>20014727</v>
      </c>
      <c r="K8" s="23" t="s">
        <v>242</v>
      </c>
      <c r="L8" s="18" t="s">
        <v>201</v>
      </c>
      <c r="M8" s="18" t="s">
        <v>262</v>
      </c>
      <c r="N8" s="24">
        <v>550</v>
      </c>
      <c r="O8" s="25" t="s">
        <v>15</v>
      </c>
      <c r="P8" s="26"/>
      <c r="Q8" s="27"/>
    </row>
    <row r="9" spans="1:17" ht="12.95" customHeight="1">
      <c r="A9" s="15"/>
      <c r="B9" s="16"/>
      <c r="C9" s="17"/>
      <c r="D9" s="17"/>
      <c r="E9" s="18"/>
      <c r="F9" s="19"/>
      <c r="G9" s="20"/>
      <c r="H9" s="21" t="s">
        <v>258</v>
      </c>
      <c r="I9" s="22">
        <v>45909</v>
      </c>
      <c r="J9" s="17">
        <v>20014727</v>
      </c>
      <c r="K9" s="23" t="s">
        <v>242</v>
      </c>
      <c r="L9" s="18" t="s">
        <v>207</v>
      </c>
      <c r="M9" s="18" t="s">
        <v>257</v>
      </c>
      <c r="N9" s="24">
        <v>550</v>
      </c>
      <c r="O9" s="25" t="s">
        <v>15</v>
      </c>
      <c r="P9" s="26"/>
      <c r="Q9" s="27"/>
    </row>
    <row r="10" spans="1:17" ht="12.95" customHeight="1">
      <c r="A10" s="15"/>
      <c r="B10" s="16"/>
      <c r="C10" s="17"/>
      <c r="D10" s="17"/>
      <c r="E10" s="18"/>
      <c r="F10" s="19"/>
      <c r="G10" s="20"/>
      <c r="H10" s="21" t="s">
        <v>252</v>
      </c>
      <c r="I10" s="22">
        <v>45909</v>
      </c>
      <c r="J10" s="17">
        <v>20014759</v>
      </c>
      <c r="K10" s="23" t="s">
        <v>242</v>
      </c>
      <c r="L10" s="18" t="s">
        <v>211</v>
      </c>
      <c r="M10" s="18" t="s">
        <v>254</v>
      </c>
      <c r="N10" s="24">
        <v>550</v>
      </c>
      <c r="O10" s="25" t="s">
        <v>15</v>
      </c>
      <c r="P10" s="26"/>
      <c r="Q10" s="27"/>
    </row>
    <row r="11" spans="1:17" ht="12.95" customHeight="1">
      <c r="A11" s="15"/>
      <c r="B11" s="16"/>
      <c r="C11" s="17"/>
      <c r="D11" s="17"/>
      <c r="E11" s="18"/>
      <c r="F11" s="19"/>
      <c r="G11" s="20"/>
      <c r="H11" s="21" t="s">
        <v>252</v>
      </c>
      <c r="I11" s="22">
        <v>45909</v>
      </c>
      <c r="J11" s="17">
        <v>20014759</v>
      </c>
      <c r="K11" s="23" t="s">
        <v>242</v>
      </c>
      <c r="L11" s="18" t="s">
        <v>201</v>
      </c>
      <c r="M11" s="18" t="s">
        <v>262</v>
      </c>
      <c r="N11" s="24">
        <v>550</v>
      </c>
      <c r="O11" s="25" t="s">
        <v>15</v>
      </c>
      <c r="P11" s="26"/>
      <c r="Q11" s="27"/>
    </row>
    <row r="12" spans="1:17" ht="12.95" customHeight="1">
      <c r="A12" s="15"/>
      <c r="B12" s="16"/>
      <c r="C12" s="17"/>
      <c r="D12" s="17"/>
      <c r="E12" s="18"/>
      <c r="F12" s="19"/>
      <c r="G12" s="20"/>
      <c r="H12" s="21" t="s">
        <v>252</v>
      </c>
      <c r="I12" s="22">
        <v>45909</v>
      </c>
      <c r="J12" s="17">
        <v>20014759</v>
      </c>
      <c r="K12" s="23" t="s">
        <v>242</v>
      </c>
      <c r="L12" s="18" t="s">
        <v>207</v>
      </c>
      <c r="M12" s="18" t="s">
        <v>257</v>
      </c>
      <c r="N12" s="24">
        <v>550</v>
      </c>
      <c r="O12" s="25" t="s">
        <v>15</v>
      </c>
      <c r="P12" s="26"/>
      <c r="Q12" s="27"/>
    </row>
    <row r="13" spans="1:17" ht="12.95" customHeight="1">
      <c r="A13" s="15"/>
      <c r="B13" s="16"/>
      <c r="C13" s="17"/>
      <c r="D13" s="17"/>
      <c r="E13" s="18"/>
      <c r="F13" s="19"/>
      <c r="G13" s="20"/>
      <c r="H13" s="21" t="s">
        <v>259</v>
      </c>
      <c r="I13" s="22">
        <v>45911</v>
      </c>
      <c r="J13" s="17">
        <v>20014764</v>
      </c>
      <c r="K13" s="23" t="s">
        <v>242</v>
      </c>
      <c r="L13" s="18" t="s">
        <v>211</v>
      </c>
      <c r="M13" s="18" t="s">
        <v>254</v>
      </c>
      <c r="N13" s="24">
        <v>550</v>
      </c>
      <c r="O13" s="25" t="s">
        <v>15</v>
      </c>
      <c r="P13" s="26"/>
      <c r="Q13" s="27"/>
    </row>
    <row r="14" spans="1:17" ht="12.95" customHeight="1">
      <c r="A14" s="15"/>
      <c r="B14" s="16"/>
      <c r="C14" s="17"/>
      <c r="D14" s="17"/>
      <c r="E14" s="18"/>
      <c r="F14" s="19"/>
      <c r="G14" s="20"/>
      <c r="H14" s="21" t="s">
        <v>259</v>
      </c>
      <c r="I14" s="22">
        <v>45911</v>
      </c>
      <c r="J14" s="17">
        <v>20014764</v>
      </c>
      <c r="K14" s="23" t="s">
        <v>242</v>
      </c>
      <c r="L14" s="18" t="s">
        <v>201</v>
      </c>
      <c r="M14" s="18" t="s">
        <v>262</v>
      </c>
      <c r="N14" s="24">
        <v>550</v>
      </c>
      <c r="O14" s="25" t="s">
        <v>15</v>
      </c>
      <c r="P14" s="26"/>
      <c r="Q14" s="27"/>
    </row>
    <row r="15" spans="1:17" ht="12.95" customHeight="1">
      <c r="A15" s="15"/>
      <c r="B15" s="16"/>
      <c r="C15" s="17"/>
      <c r="D15" s="17"/>
      <c r="E15" s="18"/>
      <c r="F15" s="19"/>
      <c r="G15" s="20"/>
      <c r="H15" s="21" t="s">
        <v>263</v>
      </c>
      <c r="I15" s="22">
        <v>45923</v>
      </c>
      <c r="J15" s="17">
        <v>20014808</v>
      </c>
      <c r="K15" s="23" t="s">
        <v>242</v>
      </c>
      <c r="L15" s="18" t="s">
        <v>201</v>
      </c>
      <c r="M15" s="18" t="s">
        <v>262</v>
      </c>
      <c r="N15" s="24">
        <v>550</v>
      </c>
      <c r="O15" s="25" t="s">
        <v>15</v>
      </c>
      <c r="P15" s="26"/>
      <c r="Q15" s="27"/>
    </row>
    <row r="16" spans="1:17" ht="12.95" customHeight="1">
      <c r="A16" s="15"/>
      <c r="B16" s="16"/>
      <c r="C16" s="17"/>
      <c r="D16" s="17"/>
      <c r="E16" s="18"/>
      <c r="F16" s="19"/>
      <c r="G16" s="20"/>
      <c r="H16" s="21" t="s">
        <v>263</v>
      </c>
      <c r="I16" s="22">
        <v>45923</v>
      </c>
      <c r="J16" s="17">
        <v>20014808</v>
      </c>
      <c r="K16" s="23" t="s">
        <v>242</v>
      </c>
      <c r="L16" s="18" t="s">
        <v>207</v>
      </c>
      <c r="M16" s="18" t="s">
        <v>257</v>
      </c>
      <c r="N16" s="24">
        <v>550</v>
      </c>
      <c r="O16" s="25" t="s">
        <v>15</v>
      </c>
      <c r="P16" s="26"/>
      <c r="Q16" s="27"/>
    </row>
    <row r="17" spans="1:17" ht="12.95" customHeight="1">
      <c r="A17" s="15"/>
      <c r="B17" s="16"/>
      <c r="C17" s="17"/>
      <c r="D17" s="17"/>
      <c r="E17" s="18"/>
      <c r="F17" s="19"/>
      <c r="G17" s="20"/>
      <c r="H17" s="21" t="s">
        <v>264</v>
      </c>
      <c r="I17" s="22">
        <v>45930</v>
      </c>
      <c r="J17" s="17">
        <v>20014842</v>
      </c>
      <c r="K17" s="23" t="s">
        <v>242</v>
      </c>
      <c r="L17" s="18" t="s">
        <v>211</v>
      </c>
      <c r="M17" s="18" t="s">
        <v>254</v>
      </c>
      <c r="N17" s="24">
        <v>550</v>
      </c>
      <c r="O17" s="25" t="s">
        <v>15</v>
      </c>
      <c r="P17" s="26"/>
      <c r="Q17" s="27"/>
    </row>
    <row r="18" spans="1:17" ht="12.95" customHeight="1">
      <c r="A18" s="15"/>
      <c r="B18" s="16"/>
      <c r="C18" s="17"/>
      <c r="D18" s="17"/>
      <c r="E18" s="18"/>
      <c r="F18" s="19"/>
      <c r="G18" s="20"/>
      <c r="H18" s="21" t="s">
        <v>264</v>
      </c>
      <c r="I18" s="22">
        <v>45930</v>
      </c>
      <c r="J18" s="17">
        <v>20014842</v>
      </c>
      <c r="K18" s="23" t="s">
        <v>242</v>
      </c>
      <c r="L18" s="18" t="s">
        <v>255</v>
      </c>
      <c r="M18" s="18" t="s">
        <v>256</v>
      </c>
      <c r="N18" s="24">
        <v>550</v>
      </c>
      <c r="O18" s="25" t="s">
        <v>15</v>
      </c>
      <c r="P18" s="26"/>
      <c r="Q18" s="27"/>
    </row>
    <row r="19" spans="1:17" ht="12.95" customHeight="1">
      <c r="A19" s="15"/>
      <c r="B19" s="16"/>
      <c r="C19" s="17"/>
      <c r="D19" s="17"/>
      <c r="E19" s="18"/>
      <c r="F19" s="19"/>
      <c r="G19" s="20"/>
      <c r="H19" s="21" t="s">
        <v>264</v>
      </c>
      <c r="I19" s="22">
        <v>45930</v>
      </c>
      <c r="J19" s="17">
        <v>20014842</v>
      </c>
      <c r="K19" s="23" t="s">
        <v>242</v>
      </c>
      <c r="L19" s="18" t="s">
        <v>201</v>
      </c>
      <c r="M19" s="18" t="s">
        <v>262</v>
      </c>
      <c r="N19" s="24">
        <v>550</v>
      </c>
      <c r="O19" s="25" t="s">
        <v>15</v>
      </c>
      <c r="P19" s="26"/>
      <c r="Q19" s="815"/>
    </row>
    <row r="20" spans="1:17" ht="12.95" customHeight="1">
      <c r="A20" s="15"/>
      <c r="B20" s="16"/>
      <c r="C20" s="17"/>
      <c r="D20" s="17"/>
      <c r="E20" s="18"/>
      <c r="F20" s="19"/>
      <c r="G20" s="20"/>
      <c r="H20" s="21" t="s">
        <v>276</v>
      </c>
      <c r="I20" s="22">
        <v>45953</v>
      </c>
      <c r="J20" s="17">
        <v>20014933</v>
      </c>
      <c r="K20" s="23" t="s">
        <v>242</v>
      </c>
      <c r="L20" s="18" t="s">
        <v>211</v>
      </c>
      <c r="M20" s="18" t="s">
        <v>254</v>
      </c>
      <c r="N20" s="24">
        <v>550</v>
      </c>
      <c r="O20" s="25" t="s">
        <v>15</v>
      </c>
      <c r="P20" s="26"/>
      <c r="Q20" s="815"/>
    </row>
    <row r="21" spans="1:17" ht="12.95" customHeight="1">
      <c r="A21" s="15"/>
      <c r="B21" s="16"/>
      <c r="C21" s="17"/>
      <c r="D21" s="17"/>
      <c r="E21" s="18"/>
      <c r="F21" s="19"/>
      <c r="G21" s="20"/>
      <c r="H21" s="21" t="s">
        <v>276</v>
      </c>
      <c r="I21" s="22">
        <v>45953</v>
      </c>
      <c r="J21" s="17">
        <v>20014933</v>
      </c>
      <c r="K21" s="23" t="s">
        <v>242</v>
      </c>
      <c r="L21" s="18" t="s">
        <v>255</v>
      </c>
      <c r="M21" s="18" t="s">
        <v>256</v>
      </c>
      <c r="N21" s="24">
        <v>550</v>
      </c>
      <c r="O21" s="25" t="s">
        <v>15</v>
      </c>
      <c r="P21" s="26">
        <f>+SUM(N4:N21)+100</f>
        <v>10000</v>
      </c>
      <c r="Q21" s="815">
        <f>+P21-F4</f>
        <v>0</v>
      </c>
    </row>
    <row r="22" spans="1:17" ht="12.95" customHeight="1">
      <c r="A22" s="15" t="s">
        <v>269</v>
      </c>
      <c r="B22" s="16">
        <v>45933</v>
      </c>
      <c r="C22" s="17" t="s">
        <v>245</v>
      </c>
      <c r="D22" s="17">
        <v>2943</v>
      </c>
      <c r="E22" s="18" t="s">
        <v>156</v>
      </c>
      <c r="F22" s="19">
        <v>7000</v>
      </c>
      <c r="G22" s="20" t="s">
        <v>15</v>
      </c>
      <c r="H22" s="21" t="s">
        <v>277</v>
      </c>
      <c r="I22" s="22">
        <v>45958</v>
      </c>
      <c r="J22" s="17">
        <v>20014961</v>
      </c>
      <c r="K22" s="23" t="s">
        <v>242</v>
      </c>
      <c r="L22" s="18" t="s">
        <v>201</v>
      </c>
      <c r="M22" s="18" t="s">
        <v>262</v>
      </c>
      <c r="N22" s="24">
        <v>550</v>
      </c>
      <c r="O22" s="25" t="s">
        <v>15</v>
      </c>
      <c r="P22" s="26"/>
      <c r="Q22" s="27"/>
    </row>
    <row r="23" spans="1:17" ht="12.95" customHeight="1">
      <c r="A23" s="15"/>
      <c r="B23" s="16"/>
      <c r="C23" s="17"/>
      <c r="D23" s="17"/>
      <c r="E23" s="18"/>
      <c r="F23" s="19"/>
      <c r="G23" s="20"/>
      <c r="H23" s="21" t="s">
        <v>277</v>
      </c>
      <c r="I23" s="22">
        <v>45958</v>
      </c>
      <c r="J23" s="17">
        <v>20014961</v>
      </c>
      <c r="K23" s="23" t="s">
        <v>242</v>
      </c>
      <c r="L23" s="18" t="s">
        <v>207</v>
      </c>
      <c r="M23" s="18" t="s">
        <v>257</v>
      </c>
      <c r="N23" s="24">
        <v>550</v>
      </c>
      <c r="O23" s="25" t="s">
        <v>15</v>
      </c>
      <c r="P23" s="26"/>
      <c r="Q23" s="27"/>
    </row>
    <row r="24" spans="1:17" ht="12.95" customHeight="1">
      <c r="A24" s="15"/>
      <c r="B24" s="16"/>
      <c r="C24" s="17"/>
      <c r="D24" s="17"/>
      <c r="E24" s="18"/>
      <c r="F24" s="19"/>
      <c r="G24" s="20"/>
      <c r="H24" s="21" t="s">
        <v>283</v>
      </c>
      <c r="I24" s="22">
        <v>45979</v>
      </c>
      <c r="J24" s="17">
        <v>20015019</v>
      </c>
      <c r="K24" s="23" t="s">
        <v>242</v>
      </c>
      <c r="L24" s="18" t="s">
        <v>211</v>
      </c>
      <c r="M24" s="18" t="s">
        <v>254</v>
      </c>
      <c r="N24" s="24">
        <v>550</v>
      </c>
      <c r="O24" s="25" t="s">
        <v>15</v>
      </c>
      <c r="P24" s="26"/>
      <c r="Q24" s="27"/>
    </row>
    <row r="25" spans="1:17" ht="12.95" customHeight="1">
      <c r="A25" s="15"/>
      <c r="B25" s="16"/>
      <c r="C25" s="17"/>
      <c r="D25" s="17"/>
      <c r="E25" s="18"/>
      <c r="F25" s="19"/>
      <c r="G25" s="20"/>
      <c r="H25" s="21" t="s">
        <v>283</v>
      </c>
      <c r="I25" s="22">
        <v>45979</v>
      </c>
      <c r="J25" s="17">
        <v>20015019</v>
      </c>
      <c r="K25" s="23" t="s">
        <v>242</v>
      </c>
      <c r="L25" s="18" t="s">
        <v>201</v>
      </c>
      <c r="M25" s="18" t="s">
        <v>262</v>
      </c>
      <c r="N25" s="24">
        <v>550</v>
      </c>
      <c r="O25" s="25" t="s">
        <v>15</v>
      </c>
      <c r="P25" s="26"/>
      <c r="Q25" s="27"/>
    </row>
    <row r="26" spans="1:17" ht="12.95" customHeight="1">
      <c r="A26" s="15"/>
      <c r="B26" s="16"/>
      <c r="C26" s="17"/>
      <c r="D26" s="17"/>
      <c r="E26" s="18"/>
      <c r="F26" s="19"/>
      <c r="G26" s="20"/>
      <c r="H26" s="21" t="s">
        <v>283</v>
      </c>
      <c r="I26" s="22">
        <v>45979</v>
      </c>
      <c r="J26" s="17">
        <v>20015019</v>
      </c>
      <c r="K26" s="23" t="s">
        <v>242</v>
      </c>
      <c r="L26" s="18" t="s">
        <v>207</v>
      </c>
      <c r="M26" s="18" t="s">
        <v>257</v>
      </c>
      <c r="N26" s="24">
        <v>550</v>
      </c>
      <c r="O26" s="25" t="s">
        <v>15</v>
      </c>
      <c r="P26" s="26"/>
      <c r="Q26" s="27"/>
    </row>
    <row r="27" spans="1:17" ht="12.95" customHeight="1">
      <c r="A27" s="15"/>
      <c r="B27" s="16"/>
      <c r="C27" s="17"/>
      <c r="D27" s="17"/>
      <c r="E27" s="18"/>
      <c r="F27" s="19"/>
      <c r="G27" s="20"/>
      <c r="H27" s="21" t="s">
        <v>286</v>
      </c>
      <c r="I27" s="22">
        <v>45986</v>
      </c>
      <c r="J27" s="17">
        <v>20015050</v>
      </c>
      <c r="K27" s="23" t="s">
        <v>242</v>
      </c>
      <c r="L27" s="18" t="s">
        <v>211</v>
      </c>
      <c r="M27" s="18" t="s">
        <v>254</v>
      </c>
      <c r="N27" s="24">
        <v>550</v>
      </c>
      <c r="O27" s="25" t="s">
        <v>15</v>
      </c>
      <c r="P27" s="26"/>
      <c r="Q27" s="27"/>
    </row>
    <row r="28" spans="1:17" ht="12.95" customHeight="1">
      <c r="A28" s="15"/>
      <c r="B28" s="16"/>
      <c r="C28" s="17"/>
      <c r="D28" s="17"/>
      <c r="E28" s="18"/>
      <c r="F28" s="19"/>
      <c r="G28" s="20"/>
      <c r="H28" s="21" t="s">
        <v>286</v>
      </c>
      <c r="I28" s="22">
        <v>45986</v>
      </c>
      <c r="J28" s="17">
        <v>20015050</v>
      </c>
      <c r="K28" s="23" t="s">
        <v>242</v>
      </c>
      <c r="L28" s="18" t="s">
        <v>201</v>
      </c>
      <c r="M28" s="18" t="s">
        <v>262</v>
      </c>
      <c r="N28" s="24">
        <v>550</v>
      </c>
      <c r="O28" s="25" t="s">
        <v>15</v>
      </c>
      <c r="P28" s="26"/>
      <c r="Q28" s="27"/>
    </row>
    <row r="29" spans="1:17" ht="12.95" customHeight="1">
      <c r="A29" s="15"/>
      <c r="B29" s="16"/>
      <c r="C29" s="17"/>
      <c r="D29" s="17"/>
      <c r="E29" s="18"/>
      <c r="F29" s="19"/>
      <c r="G29" s="20"/>
      <c r="H29" s="21" t="s">
        <v>288</v>
      </c>
      <c r="I29" s="22">
        <v>46001</v>
      </c>
      <c r="J29" s="17">
        <v>20015119</v>
      </c>
      <c r="K29" s="23" t="s">
        <v>242</v>
      </c>
      <c r="L29" s="18" t="s">
        <v>255</v>
      </c>
      <c r="M29" s="18" t="s">
        <v>256</v>
      </c>
      <c r="N29" s="24">
        <v>550</v>
      </c>
      <c r="O29" s="25" t="s">
        <v>15</v>
      </c>
      <c r="P29" s="26"/>
      <c r="Q29" s="27"/>
    </row>
    <row r="30" spans="1:17" ht="12.95" customHeight="1">
      <c r="A30" s="15"/>
      <c r="B30" s="16"/>
      <c r="C30" s="17"/>
      <c r="D30" s="17"/>
      <c r="E30" s="18"/>
      <c r="F30" s="19"/>
      <c r="G30" s="20"/>
      <c r="H30" s="21" t="s">
        <v>288</v>
      </c>
      <c r="I30" s="22">
        <v>46001</v>
      </c>
      <c r="J30" s="17">
        <v>20015119</v>
      </c>
      <c r="K30" s="23" t="s">
        <v>242</v>
      </c>
      <c r="L30" s="18" t="s">
        <v>201</v>
      </c>
      <c r="M30" s="18" t="s">
        <v>262</v>
      </c>
      <c r="N30" s="24">
        <v>550</v>
      </c>
      <c r="O30" s="25" t="s">
        <v>15</v>
      </c>
      <c r="P30" s="26"/>
      <c r="Q30" s="27"/>
    </row>
    <row r="31" spans="1:17" ht="12.95" customHeight="1">
      <c r="A31" s="15"/>
      <c r="B31" s="16"/>
      <c r="C31" s="17"/>
      <c r="D31" s="17"/>
      <c r="E31" s="18"/>
      <c r="F31" s="19"/>
      <c r="G31" s="20"/>
      <c r="H31" s="21" t="s">
        <v>289</v>
      </c>
      <c r="I31" s="22">
        <v>46015</v>
      </c>
      <c r="J31" s="17">
        <v>20015146</v>
      </c>
      <c r="K31" s="23" t="s">
        <v>242</v>
      </c>
      <c r="L31" s="18" t="s">
        <v>201</v>
      </c>
      <c r="M31" s="18" t="s">
        <v>262</v>
      </c>
      <c r="N31" s="24">
        <v>1000</v>
      </c>
      <c r="O31" s="25" t="s">
        <v>15</v>
      </c>
      <c r="P31" s="26"/>
      <c r="Q31" s="27"/>
    </row>
    <row r="32" spans="1:17" ht="12.95" customHeight="1">
      <c r="A32" s="15"/>
      <c r="B32" s="16"/>
      <c r="C32" s="17"/>
      <c r="D32" s="17"/>
      <c r="E32" s="18"/>
      <c r="F32" s="19"/>
      <c r="G32" s="20"/>
      <c r="H32" s="21" t="s">
        <v>296</v>
      </c>
      <c r="I32" s="22">
        <v>46035</v>
      </c>
      <c r="J32" s="17">
        <v>20015214</v>
      </c>
      <c r="K32" s="23" t="s">
        <v>242</v>
      </c>
      <c r="L32" s="18" t="s">
        <v>211</v>
      </c>
      <c r="M32" s="18" t="s">
        <v>254</v>
      </c>
      <c r="N32" s="24">
        <v>550</v>
      </c>
      <c r="O32" s="25" t="s">
        <v>15</v>
      </c>
      <c r="P32" s="26"/>
      <c r="Q32" s="815"/>
    </row>
    <row r="33" spans="1:17" ht="12.95" customHeight="1">
      <c r="A33" s="15"/>
      <c r="B33" s="16"/>
      <c r="C33" s="17"/>
      <c r="D33" s="17"/>
      <c r="E33" s="18"/>
      <c r="F33" s="19"/>
      <c r="G33" s="20"/>
      <c r="H33" s="21" t="s">
        <v>296</v>
      </c>
      <c r="I33" s="22">
        <v>46035</v>
      </c>
      <c r="J33" s="17">
        <v>20015214</v>
      </c>
      <c r="K33" s="23" t="s">
        <v>242</v>
      </c>
      <c r="L33" s="18" t="s">
        <v>255</v>
      </c>
      <c r="M33" s="18" t="s">
        <v>256</v>
      </c>
      <c r="N33" s="24">
        <v>550</v>
      </c>
      <c r="O33" s="25" t="s">
        <v>15</v>
      </c>
      <c r="P33" s="26">
        <f>+N22+N23+N24+N25+N27+N26+N28+N29+N30+N31+N32+N33</f>
        <v>7050</v>
      </c>
      <c r="Q33" s="920" t="s">
        <v>175</v>
      </c>
    </row>
    <row r="34" spans="1:17" ht="12.95" customHeight="1">
      <c r="A34" s="15" t="s">
        <v>295</v>
      </c>
      <c r="B34" s="16">
        <v>46030</v>
      </c>
      <c r="C34" s="17" t="s">
        <v>245</v>
      </c>
      <c r="D34" s="17">
        <v>2943</v>
      </c>
      <c r="E34" s="18" t="s">
        <v>156</v>
      </c>
      <c r="F34" s="19">
        <v>5000</v>
      </c>
      <c r="G34" s="20" t="s">
        <v>15</v>
      </c>
      <c r="H34" s="21" t="s">
        <v>296</v>
      </c>
      <c r="I34" s="22">
        <v>46035</v>
      </c>
      <c r="J34" s="17">
        <v>20015214</v>
      </c>
      <c r="K34" s="23" t="s">
        <v>242</v>
      </c>
      <c r="L34" s="18" t="s">
        <v>201</v>
      </c>
      <c r="M34" s="18" t="s">
        <v>262</v>
      </c>
      <c r="N34" s="24">
        <v>550</v>
      </c>
      <c r="O34" s="25" t="s">
        <v>15</v>
      </c>
      <c r="P34" s="26"/>
      <c r="Q34" s="893"/>
    </row>
    <row r="35" spans="1:17" ht="12.95" customHeight="1">
      <c r="A35" s="852" t="s">
        <v>294</v>
      </c>
      <c r="B35" s="16"/>
      <c r="C35" s="17"/>
      <c r="D35" s="17"/>
      <c r="E35" s="18"/>
      <c r="F35" s="19"/>
      <c r="G35" s="20"/>
      <c r="H35" s="21" t="s">
        <v>296</v>
      </c>
      <c r="I35" s="22">
        <v>46035</v>
      </c>
      <c r="J35" s="17">
        <v>20015214</v>
      </c>
      <c r="K35" s="23" t="s">
        <v>242</v>
      </c>
      <c r="L35" s="18" t="s">
        <v>207</v>
      </c>
      <c r="M35" s="18" t="s">
        <v>257</v>
      </c>
      <c r="N35" s="24">
        <v>550</v>
      </c>
      <c r="O35" s="25" t="s">
        <v>15</v>
      </c>
      <c r="P35" s="26"/>
      <c r="Q35" s="893"/>
    </row>
    <row r="36" spans="1:17" ht="12.95" customHeight="1">
      <c r="A36" s="861" t="s">
        <v>308</v>
      </c>
      <c r="B36" s="862"/>
      <c r="C36" s="863"/>
      <c r="D36" s="17"/>
      <c r="E36" s="18"/>
      <c r="F36" s="19"/>
      <c r="G36" s="20"/>
      <c r="H36" s="21" t="s">
        <v>302</v>
      </c>
      <c r="I36" s="22">
        <v>46057</v>
      </c>
      <c r="J36" s="17">
        <v>20015280</v>
      </c>
      <c r="K36" s="23" t="s">
        <v>242</v>
      </c>
      <c r="L36" s="18" t="s">
        <v>211</v>
      </c>
      <c r="M36" s="18" t="s">
        <v>254</v>
      </c>
      <c r="N36" s="24">
        <v>550</v>
      </c>
      <c r="O36" s="25" t="s">
        <v>15</v>
      </c>
      <c r="P36" s="26"/>
      <c r="Q36" s="893"/>
    </row>
    <row r="37" spans="1:17" ht="12.95" customHeight="1">
      <c r="A37" s="15"/>
      <c r="B37" s="16"/>
      <c r="C37" s="17"/>
      <c r="D37" s="17"/>
      <c r="E37" s="18"/>
      <c r="F37" s="19"/>
      <c r="G37" s="20"/>
      <c r="H37" s="21" t="s">
        <v>302</v>
      </c>
      <c r="I37" s="22">
        <v>46057</v>
      </c>
      <c r="J37" s="17">
        <v>20015280</v>
      </c>
      <c r="K37" s="23" t="s">
        <v>242</v>
      </c>
      <c r="L37" s="18" t="s">
        <v>207</v>
      </c>
      <c r="M37" s="18" t="s">
        <v>257</v>
      </c>
      <c r="N37" s="24">
        <v>550</v>
      </c>
      <c r="O37" s="25" t="s">
        <v>15</v>
      </c>
      <c r="P37" s="26"/>
      <c r="Q37" s="893"/>
    </row>
    <row r="38" spans="1:17" ht="12.95" customHeight="1">
      <c r="A38" s="15"/>
      <c r="B38" s="16"/>
      <c r="C38" s="17"/>
      <c r="D38" s="17"/>
      <c r="E38" s="18"/>
      <c r="F38" s="19"/>
      <c r="G38" s="20"/>
      <c r="H38" s="21" t="s">
        <v>303</v>
      </c>
      <c r="I38" s="22">
        <v>46072</v>
      </c>
      <c r="J38" s="17">
        <v>20015351</v>
      </c>
      <c r="K38" s="23" t="s">
        <v>242</v>
      </c>
      <c r="L38" s="18" t="s">
        <v>201</v>
      </c>
      <c r="M38" s="18" t="s">
        <v>262</v>
      </c>
      <c r="N38" s="24">
        <v>550</v>
      </c>
      <c r="O38" s="25" t="s">
        <v>15</v>
      </c>
      <c r="P38" s="26">
        <f>+N34+N35+N36+N37+N38+N39+N40+N41+N42+50</f>
        <v>5000</v>
      </c>
      <c r="Q38" s="888">
        <f>+F34-P38</f>
        <v>0</v>
      </c>
    </row>
    <row r="39" spans="1:17" ht="12.95" customHeight="1">
      <c r="A39" s="15"/>
      <c r="B39" s="16"/>
      <c r="C39" s="17"/>
      <c r="D39" s="17"/>
      <c r="E39" s="18"/>
      <c r="F39" s="19"/>
      <c r="G39" s="20"/>
      <c r="H39" s="21" t="s">
        <v>304</v>
      </c>
      <c r="I39" s="22">
        <v>46077</v>
      </c>
      <c r="J39" s="17">
        <v>20015382</v>
      </c>
      <c r="K39" s="23" t="s">
        <v>242</v>
      </c>
      <c r="L39" s="18" t="s">
        <v>211</v>
      </c>
      <c r="M39" s="18" t="s">
        <v>254</v>
      </c>
      <c r="N39" s="24">
        <v>550</v>
      </c>
      <c r="O39" s="25" t="s">
        <v>15</v>
      </c>
      <c r="P39" s="26"/>
      <c r="Q39" s="888"/>
    </row>
    <row r="40" spans="1:17" ht="12.95" customHeight="1">
      <c r="A40" s="15"/>
      <c r="B40" s="16"/>
      <c r="C40" s="17"/>
      <c r="D40" s="17"/>
      <c r="E40" s="18"/>
      <c r="F40" s="19"/>
      <c r="G40" s="20"/>
      <c r="H40" s="21" t="s">
        <v>304</v>
      </c>
      <c r="I40" s="22">
        <v>46077</v>
      </c>
      <c r="J40" s="17">
        <v>20015382</v>
      </c>
      <c r="K40" s="23" t="s">
        <v>242</v>
      </c>
      <c r="L40" s="18" t="s">
        <v>201</v>
      </c>
      <c r="M40" s="18" t="s">
        <v>262</v>
      </c>
      <c r="N40" s="24">
        <v>550</v>
      </c>
      <c r="O40" s="25" t="s">
        <v>15</v>
      </c>
      <c r="P40" s="26"/>
      <c r="Q40" s="888"/>
    </row>
    <row r="41" spans="1:17" ht="12.95" customHeight="1">
      <c r="A41" s="15"/>
      <c r="B41" s="16"/>
      <c r="C41" s="17"/>
      <c r="D41" s="17"/>
      <c r="E41" s="18"/>
      <c r="F41" s="19"/>
      <c r="G41" s="20"/>
      <c r="H41" s="21" t="s">
        <v>304</v>
      </c>
      <c r="I41" s="22">
        <v>46077</v>
      </c>
      <c r="J41" s="17">
        <v>20015382</v>
      </c>
      <c r="K41" s="23" t="s">
        <v>242</v>
      </c>
      <c r="L41" s="18" t="s">
        <v>207</v>
      </c>
      <c r="M41" s="18" t="s">
        <v>257</v>
      </c>
      <c r="N41" s="24">
        <v>550</v>
      </c>
      <c r="O41" s="25" t="s">
        <v>15</v>
      </c>
      <c r="P41" s="26"/>
      <c r="Q41" s="888"/>
    </row>
    <row r="42" spans="1:17" ht="12.95" customHeight="1">
      <c r="A42" s="15"/>
      <c r="B42" s="16"/>
      <c r="C42" s="17"/>
      <c r="D42" s="17"/>
      <c r="E42" s="18"/>
      <c r="F42" s="19"/>
      <c r="G42" s="20"/>
      <c r="H42" s="21" t="s">
        <v>306</v>
      </c>
      <c r="I42" s="22">
        <v>46084</v>
      </c>
      <c r="J42" s="17">
        <v>20015430</v>
      </c>
      <c r="K42" s="23" t="s">
        <v>242</v>
      </c>
      <c r="L42" s="18" t="s">
        <v>211</v>
      </c>
      <c r="M42" s="18" t="s">
        <v>254</v>
      </c>
      <c r="N42" s="24">
        <v>550</v>
      </c>
      <c r="O42" s="25" t="s">
        <v>15</v>
      </c>
      <c r="P42" s="26"/>
      <c r="Q42" s="888"/>
    </row>
    <row r="43" spans="1:17" ht="12.95" customHeight="1">
      <c r="A43" s="15" t="s">
        <v>305</v>
      </c>
      <c r="B43" s="16">
        <v>46079</v>
      </c>
      <c r="C43" s="17" t="s">
        <v>245</v>
      </c>
      <c r="D43" s="17">
        <v>2943</v>
      </c>
      <c r="E43" s="18" t="s">
        <v>156</v>
      </c>
      <c r="F43" s="19">
        <v>5000</v>
      </c>
      <c r="G43" s="20" t="s">
        <v>15</v>
      </c>
      <c r="H43" s="21" t="s">
        <v>306</v>
      </c>
      <c r="I43" s="22">
        <v>46084</v>
      </c>
      <c r="J43" s="17">
        <v>20015430</v>
      </c>
      <c r="K43" s="23" t="s">
        <v>242</v>
      </c>
      <c r="L43" s="18" t="s">
        <v>207</v>
      </c>
      <c r="M43" s="18" t="s">
        <v>257</v>
      </c>
      <c r="N43" s="24">
        <v>550</v>
      </c>
      <c r="O43" s="25" t="s">
        <v>15</v>
      </c>
      <c r="P43" s="26">
        <f>+N43+N44+N45+N46+N47+N48+N49+N50+N51+50</f>
        <v>5000</v>
      </c>
      <c r="Q43" s="888">
        <f>+F43-P43</f>
        <v>0</v>
      </c>
    </row>
    <row r="44" spans="1:17" ht="12.95" customHeight="1">
      <c r="A44" s="852" t="s">
        <v>314</v>
      </c>
      <c r="B44" s="16"/>
      <c r="C44" s="17"/>
      <c r="D44" s="17"/>
      <c r="E44" s="18"/>
      <c r="F44" s="19"/>
      <c r="G44" s="20"/>
      <c r="H44" s="21" t="s">
        <v>313</v>
      </c>
      <c r="I44" s="22">
        <v>46098</v>
      </c>
      <c r="J44" s="17">
        <v>20015511</v>
      </c>
      <c r="K44" s="23" t="s">
        <v>242</v>
      </c>
      <c r="L44" s="18" t="s">
        <v>201</v>
      </c>
      <c r="M44" s="18" t="s">
        <v>262</v>
      </c>
      <c r="N44" s="24">
        <v>550</v>
      </c>
      <c r="O44" s="25" t="s">
        <v>15</v>
      </c>
      <c r="P44" s="26"/>
      <c r="Q44" s="27"/>
    </row>
    <row r="45" spans="1:17" ht="12.95" customHeight="1">
      <c r="A45" s="861" t="s">
        <v>309</v>
      </c>
      <c r="B45" s="862"/>
      <c r="C45" s="863"/>
      <c r="D45" s="17"/>
      <c r="E45" s="18"/>
      <c r="F45" s="19"/>
      <c r="G45" s="20"/>
      <c r="H45" s="21" t="s">
        <v>316</v>
      </c>
      <c r="I45" s="22">
        <v>46107</v>
      </c>
      <c r="J45" s="17">
        <v>20015565</v>
      </c>
      <c r="K45" s="23" t="s">
        <v>242</v>
      </c>
      <c r="L45" s="18" t="s">
        <v>211</v>
      </c>
      <c r="M45" s="18" t="s">
        <v>254</v>
      </c>
      <c r="N45" s="24">
        <v>550</v>
      </c>
      <c r="O45" s="25" t="s">
        <v>15</v>
      </c>
      <c r="P45" s="26"/>
      <c r="Q45" s="27"/>
    </row>
    <row r="46" spans="1:17" ht="12.95" customHeight="1">
      <c r="A46" s="15"/>
      <c r="B46" s="16"/>
      <c r="C46" s="17"/>
      <c r="D46" s="17"/>
      <c r="E46" s="18"/>
      <c r="F46" s="19"/>
      <c r="G46" s="20"/>
      <c r="H46" s="21" t="s">
        <v>316</v>
      </c>
      <c r="I46" s="22">
        <v>46107</v>
      </c>
      <c r="J46" s="17">
        <v>20015565</v>
      </c>
      <c r="K46" s="23" t="s">
        <v>242</v>
      </c>
      <c r="L46" s="18" t="s">
        <v>255</v>
      </c>
      <c r="M46" s="18" t="s">
        <v>256</v>
      </c>
      <c r="N46" s="24">
        <v>550</v>
      </c>
      <c r="O46" s="25" t="s">
        <v>15</v>
      </c>
      <c r="P46" s="26"/>
      <c r="Q46" s="27"/>
    </row>
    <row r="47" spans="1:17" ht="12.95" customHeight="1">
      <c r="A47" s="15"/>
      <c r="B47" s="16"/>
      <c r="C47" s="17"/>
      <c r="D47" s="17"/>
      <c r="E47" s="18"/>
      <c r="F47" s="19"/>
      <c r="G47" s="20"/>
      <c r="H47" s="21" t="s">
        <v>316</v>
      </c>
      <c r="I47" s="22">
        <v>46107</v>
      </c>
      <c r="J47" s="17">
        <v>20015565</v>
      </c>
      <c r="K47" s="23" t="s">
        <v>242</v>
      </c>
      <c r="L47" s="18" t="s">
        <v>201</v>
      </c>
      <c r="M47" s="18" t="s">
        <v>262</v>
      </c>
      <c r="N47" s="24">
        <v>550</v>
      </c>
      <c r="O47" s="25" t="s">
        <v>15</v>
      </c>
      <c r="P47" s="26"/>
      <c r="Q47" s="27"/>
    </row>
    <row r="48" spans="1:17" ht="12.95" customHeight="1">
      <c r="A48" s="15"/>
      <c r="B48" s="16"/>
      <c r="C48" s="17"/>
      <c r="D48" s="17"/>
      <c r="E48" s="18"/>
      <c r="F48" s="19"/>
      <c r="G48" s="20"/>
      <c r="H48" s="21" t="s">
        <v>316</v>
      </c>
      <c r="I48" s="22">
        <v>46107</v>
      </c>
      <c r="J48" s="17">
        <v>20015565</v>
      </c>
      <c r="K48" s="23" t="s">
        <v>242</v>
      </c>
      <c r="L48" s="18" t="s">
        <v>207</v>
      </c>
      <c r="M48" s="18" t="s">
        <v>257</v>
      </c>
      <c r="N48" s="24">
        <v>550</v>
      </c>
      <c r="O48" s="25" t="s">
        <v>15</v>
      </c>
      <c r="P48" s="26"/>
      <c r="Q48" s="27"/>
    </row>
    <row r="49" spans="1:17" ht="12.95" customHeight="1">
      <c r="A49" s="15"/>
      <c r="B49" s="16"/>
      <c r="C49" s="17"/>
      <c r="D49" s="17"/>
      <c r="E49" s="18"/>
      <c r="F49" s="19"/>
      <c r="G49" s="20"/>
      <c r="H49" s="21" t="s">
        <v>322</v>
      </c>
      <c r="I49" s="22">
        <v>46119</v>
      </c>
      <c r="J49" s="17">
        <v>20015638</v>
      </c>
      <c r="K49" s="23" t="s">
        <v>242</v>
      </c>
      <c r="L49" s="18" t="s">
        <v>201</v>
      </c>
      <c r="M49" s="18" t="s">
        <v>262</v>
      </c>
      <c r="N49" s="24">
        <v>550</v>
      </c>
      <c r="O49" s="25" t="s">
        <v>15</v>
      </c>
      <c r="P49" s="26"/>
      <c r="Q49" s="27"/>
    </row>
    <row r="50" spans="1:17" ht="12.95" customHeight="1">
      <c r="A50" s="15"/>
      <c r="B50" s="16"/>
      <c r="C50" s="17"/>
      <c r="D50" s="17"/>
      <c r="E50" s="18"/>
      <c r="F50" s="19"/>
      <c r="G50" s="20"/>
      <c r="H50" s="21" t="s">
        <v>322</v>
      </c>
      <c r="I50" s="22">
        <v>46119</v>
      </c>
      <c r="J50" s="17">
        <v>20015638</v>
      </c>
      <c r="K50" s="23" t="s">
        <v>242</v>
      </c>
      <c r="L50" s="18" t="s">
        <v>207</v>
      </c>
      <c r="M50" s="18" t="s">
        <v>257</v>
      </c>
      <c r="N50" s="24">
        <v>550</v>
      </c>
      <c r="O50" s="25" t="s">
        <v>15</v>
      </c>
      <c r="P50" s="26"/>
      <c r="Q50" s="27"/>
    </row>
    <row r="51" spans="1:17" ht="12.95" customHeight="1">
      <c r="A51" s="15"/>
      <c r="B51" s="16"/>
      <c r="C51" s="17"/>
      <c r="D51" s="17"/>
      <c r="E51" s="18"/>
      <c r="F51" s="19"/>
      <c r="G51" s="20"/>
      <c r="H51" s="21" t="s">
        <v>326</v>
      </c>
      <c r="I51" s="22">
        <v>46120</v>
      </c>
      <c r="J51" s="17">
        <v>20015656</v>
      </c>
      <c r="K51" s="885" t="s">
        <v>324</v>
      </c>
      <c r="L51" s="18" t="s">
        <v>325</v>
      </c>
      <c r="M51" s="18" t="s">
        <v>323</v>
      </c>
      <c r="N51" s="24">
        <v>550</v>
      </c>
      <c r="O51" s="25" t="s">
        <v>15</v>
      </c>
      <c r="P51" s="26"/>
      <c r="Q51" s="27"/>
    </row>
    <row r="52" spans="1:17" ht="12.75" customHeight="1">
      <c r="A52" s="881" t="s">
        <v>317</v>
      </c>
      <c r="B52" s="16">
        <v>46108</v>
      </c>
      <c r="C52" s="17" t="s">
        <v>245</v>
      </c>
      <c r="D52" s="17">
        <v>2943</v>
      </c>
      <c r="E52" s="18" t="s">
        <v>156</v>
      </c>
      <c r="F52" s="19">
        <v>5550</v>
      </c>
      <c r="G52" s="20" t="s">
        <v>15</v>
      </c>
      <c r="H52" s="21" t="s">
        <v>330</v>
      </c>
      <c r="I52" s="22">
        <v>46133</v>
      </c>
      <c r="J52" s="17">
        <v>20015718</v>
      </c>
      <c r="K52" s="23" t="s">
        <v>242</v>
      </c>
      <c r="L52" s="18" t="s">
        <v>211</v>
      </c>
      <c r="M52" s="18" t="s">
        <v>254</v>
      </c>
      <c r="N52" s="24">
        <v>550</v>
      </c>
      <c r="O52" s="25" t="s">
        <v>15</v>
      </c>
      <c r="P52" s="26">
        <f>+N52+N53+N54+N55+N56+N57+N58+N59+N60+N61</f>
        <v>5500</v>
      </c>
      <c r="Q52" s="915">
        <f>+P52-F52</f>
        <v>-50</v>
      </c>
    </row>
    <row r="53" spans="1:17" ht="12.95" customHeight="1">
      <c r="A53" s="882" t="s">
        <v>315</v>
      </c>
      <c r="B53" s="884"/>
      <c r="C53" s="17"/>
      <c r="D53" s="17"/>
      <c r="E53" s="18"/>
      <c r="F53" s="19"/>
      <c r="G53" s="20"/>
      <c r="H53" s="21" t="s">
        <v>330</v>
      </c>
      <c r="I53" s="22">
        <v>46133</v>
      </c>
      <c r="J53" s="17">
        <v>20015718</v>
      </c>
      <c r="K53" s="23" t="s">
        <v>242</v>
      </c>
      <c r="L53" s="18" t="s">
        <v>255</v>
      </c>
      <c r="M53" s="18" t="s">
        <v>256</v>
      </c>
      <c r="N53" s="24">
        <v>550</v>
      </c>
      <c r="O53" s="25" t="s">
        <v>15</v>
      </c>
      <c r="P53" s="26"/>
      <c r="Q53" s="895"/>
    </row>
    <row r="54" spans="1:17" ht="12.95" customHeight="1">
      <c r="A54" s="881"/>
      <c r="B54" s="17"/>
      <c r="C54" s="17"/>
      <c r="D54" s="17"/>
      <c r="E54" s="18"/>
      <c r="F54" s="19"/>
      <c r="G54" s="20"/>
      <c r="H54" s="21" t="s">
        <v>330</v>
      </c>
      <c r="I54" s="22">
        <v>46133</v>
      </c>
      <c r="J54" s="17">
        <v>20015718</v>
      </c>
      <c r="K54" s="23" t="s">
        <v>242</v>
      </c>
      <c r="L54" s="18" t="s">
        <v>201</v>
      </c>
      <c r="M54" s="18" t="s">
        <v>262</v>
      </c>
      <c r="N54" s="24">
        <v>550</v>
      </c>
      <c r="O54" s="25" t="s">
        <v>15</v>
      </c>
      <c r="P54" s="26"/>
      <c r="Q54" s="895"/>
    </row>
    <row r="55" spans="1:17" ht="12.95" customHeight="1">
      <c r="A55" s="864" t="s">
        <v>339</v>
      </c>
      <c r="B55" s="885"/>
      <c r="C55" s="863"/>
      <c r="D55" s="863"/>
      <c r="E55" s="18"/>
      <c r="F55" s="19"/>
      <c r="G55" s="20"/>
      <c r="H55" s="21" t="s">
        <v>330</v>
      </c>
      <c r="I55" s="22">
        <v>46133</v>
      </c>
      <c r="J55" s="17">
        <v>20015718</v>
      </c>
      <c r="K55" s="23" t="s">
        <v>242</v>
      </c>
      <c r="L55" s="18" t="s">
        <v>207</v>
      </c>
      <c r="M55" s="18" t="s">
        <v>257</v>
      </c>
      <c r="N55" s="24">
        <v>550</v>
      </c>
      <c r="O55" s="25" t="s">
        <v>15</v>
      </c>
      <c r="P55" s="26"/>
      <c r="Q55" s="895"/>
    </row>
    <row r="56" spans="1:17" ht="15" customHeight="1">
      <c r="A56" s="864"/>
      <c r="B56" s="885"/>
      <c r="C56" s="863"/>
      <c r="D56" s="863"/>
      <c r="E56" s="18"/>
      <c r="F56" s="19"/>
      <c r="G56" s="20"/>
      <c r="H56" s="21" t="s">
        <v>331</v>
      </c>
      <c r="I56" s="22">
        <v>46140</v>
      </c>
      <c r="J56" s="17">
        <v>20015766</v>
      </c>
      <c r="K56" s="23" t="s">
        <v>242</v>
      </c>
      <c r="L56" s="18" t="s">
        <v>201</v>
      </c>
      <c r="M56" s="18" t="s">
        <v>262</v>
      </c>
      <c r="N56" s="24">
        <v>550</v>
      </c>
      <c r="O56" s="25" t="s">
        <v>15</v>
      </c>
      <c r="P56" s="26"/>
      <c r="Q56" s="895"/>
    </row>
    <row r="57" spans="1:17" ht="15" customHeight="1">
      <c r="A57" s="883"/>
      <c r="B57" s="480"/>
      <c r="C57" s="481"/>
      <c r="D57" s="481"/>
      <c r="E57" s="473"/>
      <c r="F57" s="482"/>
      <c r="G57" s="483"/>
      <c r="H57" s="21" t="s">
        <v>371</v>
      </c>
      <c r="I57" s="22">
        <v>46148</v>
      </c>
      <c r="J57" s="17">
        <v>20015826</v>
      </c>
      <c r="K57" s="885" t="s">
        <v>324</v>
      </c>
      <c r="L57" s="18" t="s">
        <v>338</v>
      </c>
      <c r="M57" s="18" t="s">
        <v>382</v>
      </c>
      <c r="N57" s="24">
        <v>550</v>
      </c>
      <c r="O57" s="25" t="s">
        <v>15</v>
      </c>
      <c r="P57" s="26"/>
      <c r="Q57" s="895"/>
    </row>
    <row r="58" spans="1:17" ht="15" customHeight="1">
      <c r="A58" s="883"/>
      <c r="B58" s="480"/>
      <c r="C58" s="481"/>
      <c r="D58" s="481"/>
      <c r="E58" s="473"/>
      <c r="F58" s="482"/>
      <c r="G58" s="483"/>
      <c r="H58" s="21" t="s">
        <v>371</v>
      </c>
      <c r="I58" s="22">
        <v>46148</v>
      </c>
      <c r="J58" s="17">
        <v>20015826</v>
      </c>
      <c r="K58" s="885" t="s">
        <v>324</v>
      </c>
      <c r="L58" s="18" t="s">
        <v>325</v>
      </c>
      <c r="M58" s="18" t="s">
        <v>323</v>
      </c>
      <c r="N58" s="24">
        <v>550</v>
      </c>
      <c r="O58" s="25" t="s">
        <v>15</v>
      </c>
      <c r="P58" s="26"/>
      <c r="Q58" s="895"/>
    </row>
    <row r="59" spans="1:17" ht="15" customHeight="1">
      <c r="A59" s="883"/>
      <c r="B59" s="480"/>
      <c r="C59" s="481"/>
      <c r="D59" s="481"/>
      <c r="E59" s="473"/>
      <c r="F59" s="482"/>
      <c r="G59" s="483"/>
      <c r="H59" s="21" t="s">
        <v>355</v>
      </c>
      <c r="I59" s="22">
        <v>46161</v>
      </c>
      <c r="J59" s="17">
        <v>20015936</v>
      </c>
      <c r="K59" s="23" t="s">
        <v>242</v>
      </c>
      <c r="L59" s="18" t="s">
        <v>211</v>
      </c>
      <c r="M59" s="18" t="s">
        <v>254</v>
      </c>
      <c r="N59" s="24">
        <v>550</v>
      </c>
      <c r="O59" s="25" t="s">
        <v>15</v>
      </c>
      <c r="P59" s="26"/>
      <c r="Q59" s="895"/>
    </row>
    <row r="60" spans="1:17" ht="15" customHeight="1">
      <c r="A60" s="883"/>
      <c r="B60" s="480"/>
      <c r="C60" s="481"/>
      <c r="D60" s="481"/>
      <c r="E60" s="473"/>
      <c r="F60" s="482"/>
      <c r="G60" s="483"/>
      <c r="H60" s="21" t="s">
        <v>355</v>
      </c>
      <c r="I60" s="22">
        <v>46161</v>
      </c>
      <c r="J60" s="17">
        <v>20015936</v>
      </c>
      <c r="K60" s="23" t="s">
        <v>242</v>
      </c>
      <c r="L60" s="18" t="s">
        <v>201</v>
      </c>
      <c r="M60" s="18" t="s">
        <v>360</v>
      </c>
      <c r="N60" s="24">
        <v>550</v>
      </c>
      <c r="O60" s="25" t="s">
        <v>15</v>
      </c>
      <c r="P60" s="26"/>
      <c r="Q60" s="895"/>
    </row>
    <row r="61" spans="1:17" ht="15" customHeight="1">
      <c r="A61" s="883"/>
      <c r="B61" s="480"/>
      <c r="C61" s="481"/>
      <c r="D61" s="481"/>
      <c r="E61" s="473"/>
      <c r="F61" s="482"/>
      <c r="G61" s="483"/>
      <c r="H61" s="21" t="s">
        <v>355</v>
      </c>
      <c r="I61" s="22">
        <v>46161</v>
      </c>
      <c r="J61" s="17">
        <v>20015936</v>
      </c>
      <c r="K61" s="23" t="s">
        <v>242</v>
      </c>
      <c r="L61" s="18" t="s">
        <v>207</v>
      </c>
      <c r="M61" s="18" t="s">
        <v>350</v>
      </c>
      <c r="N61" s="24">
        <v>550</v>
      </c>
      <c r="O61" s="25" t="s">
        <v>15</v>
      </c>
      <c r="P61" s="26"/>
      <c r="Q61" s="895"/>
    </row>
    <row r="62" spans="1:17" ht="12.75" customHeight="1">
      <c r="A62" s="881" t="s">
        <v>320</v>
      </c>
      <c r="B62" s="16">
        <v>46119</v>
      </c>
      <c r="C62" s="17" t="s">
        <v>245</v>
      </c>
      <c r="D62" s="17">
        <v>2943</v>
      </c>
      <c r="E62" s="18" t="s">
        <v>156</v>
      </c>
      <c r="F62" s="19">
        <v>3000</v>
      </c>
      <c r="G62" s="20" t="s">
        <v>15</v>
      </c>
      <c r="H62" s="21" t="s">
        <v>368</v>
      </c>
      <c r="I62" s="22">
        <v>46179</v>
      </c>
      <c r="J62" s="17">
        <v>20016044</v>
      </c>
      <c r="K62" s="23" t="s">
        <v>242</v>
      </c>
      <c r="L62" s="18" t="s">
        <v>211</v>
      </c>
      <c r="M62" s="18" t="s">
        <v>254</v>
      </c>
      <c r="N62" s="24">
        <v>550</v>
      </c>
      <c r="O62" s="25" t="s">
        <v>15</v>
      </c>
      <c r="P62" s="26">
        <f>+N62+N63+N64+N65+N66+N67+N68+N69+N70</f>
        <v>4850</v>
      </c>
      <c r="Q62" s="895">
        <f>+F62+F63-P62</f>
        <v>150</v>
      </c>
    </row>
    <row r="63" spans="1:17" ht="12.75" customHeight="1">
      <c r="A63" s="882" t="s">
        <v>315</v>
      </c>
      <c r="B63" s="884"/>
      <c r="C63" s="17"/>
      <c r="D63" s="17"/>
      <c r="E63" s="18"/>
      <c r="F63" s="889">
        <v>2000</v>
      </c>
      <c r="G63" s="20" t="s">
        <v>15</v>
      </c>
      <c r="H63" s="21" t="s">
        <v>368</v>
      </c>
      <c r="I63" s="22">
        <v>46179</v>
      </c>
      <c r="J63" s="17">
        <v>20016044</v>
      </c>
      <c r="K63" s="23" t="s">
        <v>242</v>
      </c>
      <c r="L63" s="18" t="s">
        <v>201</v>
      </c>
      <c r="M63" s="18" t="s">
        <v>360</v>
      </c>
      <c r="N63" s="24">
        <v>550</v>
      </c>
      <c r="O63" s="25" t="s">
        <v>15</v>
      </c>
      <c r="P63" s="26"/>
      <c r="Q63" s="895"/>
    </row>
    <row r="64" spans="1:17" ht="12.75" customHeight="1">
      <c r="A64" s="864" t="s">
        <v>340</v>
      </c>
      <c r="B64" s="885"/>
      <c r="C64" s="17"/>
      <c r="D64" s="17"/>
      <c r="E64" s="18"/>
      <c r="F64" s="889"/>
      <c r="G64" s="20"/>
      <c r="H64" s="21" t="s">
        <v>368</v>
      </c>
      <c r="I64" s="22">
        <v>46179</v>
      </c>
      <c r="J64" s="17">
        <v>20016044</v>
      </c>
      <c r="K64" s="23" t="s">
        <v>242</v>
      </c>
      <c r="L64" s="18" t="s">
        <v>207</v>
      </c>
      <c r="M64" s="18" t="s">
        <v>350</v>
      </c>
      <c r="N64" s="24">
        <v>550</v>
      </c>
      <c r="O64" s="25" t="s">
        <v>15</v>
      </c>
      <c r="P64" s="26"/>
      <c r="Q64" s="895"/>
    </row>
    <row r="65" spans="1:17" ht="12.75" customHeight="1">
      <c r="A65" s="926"/>
      <c r="B65" s="884"/>
      <c r="C65" s="17"/>
      <c r="D65" s="17"/>
      <c r="E65" s="18"/>
      <c r="F65" s="889"/>
      <c r="G65" s="20"/>
      <c r="H65" s="21" t="s">
        <v>374</v>
      </c>
      <c r="I65" s="22">
        <v>46179</v>
      </c>
      <c r="J65" s="17">
        <v>20016044</v>
      </c>
      <c r="K65" s="885" t="s">
        <v>324</v>
      </c>
      <c r="L65" s="18" t="s">
        <v>338</v>
      </c>
      <c r="M65" s="18" t="s">
        <v>382</v>
      </c>
      <c r="N65" s="24">
        <v>500</v>
      </c>
      <c r="O65" s="25" t="s">
        <v>15</v>
      </c>
      <c r="P65" s="26"/>
      <c r="Q65" s="895"/>
    </row>
    <row r="66" spans="1:17" ht="12.75" customHeight="1">
      <c r="A66" s="882"/>
      <c r="B66" s="884"/>
      <c r="C66" s="17"/>
      <c r="D66" s="17"/>
      <c r="E66" s="18"/>
      <c r="F66" s="889"/>
      <c r="G66" s="20"/>
      <c r="H66" s="660" t="s">
        <v>377</v>
      </c>
      <c r="I66" s="22">
        <v>46190</v>
      </c>
      <c r="J66" s="17">
        <v>20016141</v>
      </c>
      <c r="K66" s="23" t="s">
        <v>242</v>
      </c>
      <c r="L66" s="18" t="s">
        <v>211</v>
      </c>
      <c r="M66" s="18" t="s">
        <v>254</v>
      </c>
      <c r="N66" s="24">
        <v>550</v>
      </c>
      <c r="O66" s="25" t="s">
        <v>15</v>
      </c>
      <c r="P66" s="26"/>
      <c r="Q66" s="895"/>
    </row>
    <row r="67" spans="1:17" ht="12.75" customHeight="1">
      <c r="A67" s="864"/>
      <c r="B67" s="885"/>
      <c r="C67" s="863"/>
      <c r="D67" s="863"/>
      <c r="E67" s="18"/>
      <c r="F67" s="19"/>
      <c r="G67" s="20"/>
      <c r="H67" s="21" t="s">
        <v>377</v>
      </c>
      <c r="I67" s="22">
        <v>46190</v>
      </c>
      <c r="J67" s="17">
        <v>20016141</v>
      </c>
      <c r="K67" s="23" t="s">
        <v>242</v>
      </c>
      <c r="L67" s="18" t="s">
        <v>201</v>
      </c>
      <c r="M67" s="18" t="s">
        <v>360</v>
      </c>
      <c r="N67" s="24">
        <v>550</v>
      </c>
      <c r="O67" s="25" t="s">
        <v>15</v>
      </c>
      <c r="P67" s="26"/>
      <c r="Q67" s="895"/>
    </row>
    <row r="68" spans="1:17" ht="12.95" customHeight="1">
      <c r="A68" s="886"/>
      <c r="B68" s="887"/>
      <c r="C68" s="17"/>
      <c r="D68" s="17"/>
      <c r="E68" s="18"/>
      <c r="F68" s="889"/>
      <c r="G68" s="20"/>
      <c r="H68" s="21" t="s">
        <v>379</v>
      </c>
      <c r="I68" s="22">
        <v>46196</v>
      </c>
      <c r="J68" s="17">
        <v>20016179</v>
      </c>
      <c r="K68" s="885" t="s">
        <v>324</v>
      </c>
      <c r="L68" s="18" t="s">
        <v>338</v>
      </c>
      <c r="M68" s="18" t="s">
        <v>382</v>
      </c>
      <c r="N68" s="24">
        <v>500</v>
      </c>
      <c r="O68" s="25" t="s">
        <v>15</v>
      </c>
      <c r="P68" s="26"/>
      <c r="Q68" s="895">
        <v>10000</v>
      </c>
    </row>
    <row r="69" spans="1:17" ht="12.95" customHeight="1">
      <c r="A69" s="864"/>
      <c r="B69" s="885"/>
      <c r="C69" s="863"/>
      <c r="D69" s="863"/>
      <c r="E69" s="18"/>
      <c r="F69" s="19"/>
      <c r="G69" s="20"/>
      <c r="H69" s="21" t="s">
        <v>380</v>
      </c>
      <c r="I69" s="22">
        <v>46196</v>
      </c>
      <c r="J69" s="17">
        <v>20016179</v>
      </c>
      <c r="K69" s="23" t="s">
        <v>242</v>
      </c>
      <c r="L69" s="18" t="s">
        <v>255</v>
      </c>
      <c r="M69" s="18" t="s">
        <v>256</v>
      </c>
      <c r="N69" s="24">
        <v>550</v>
      </c>
      <c r="O69" s="25" t="s">
        <v>15</v>
      </c>
      <c r="P69" s="26"/>
      <c r="Q69" s="27"/>
    </row>
    <row r="70" spans="1:17" ht="12.95" customHeight="1">
      <c r="A70" s="926"/>
      <c r="B70" s="927"/>
      <c r="C70" s="927"/>
      <c r="D70" s="927"/>
      <c r="E70" s="18"/>
      <c r="F70" s="19"/>
      <c r="G70" s="20"/>
      <c r="H70" s="239" t="s">
        <v>383</v>
      </c>
      <c r="I70" s="22">
        <v>46198</v>
      </c>
      <c r="J70" s="17">
        <v>20016198</v>
      </c>
      <c r="K70" s="23" t="s">
        <v>242</v>
      </c>
      <c r="L70" s="18" t="s">
        <v>211</v>
      </c>
      <c r="M70" s="18" t="s">
        <v>254</v>
      </c>
      <c r="N70" s="24">
        <v>550</v>
      </c>
      <c r="O70" s="25" t="s">
        <v>15</v>
      </c>
      <c r="P70" s="26"/>
      <c r="Q70" s="27"/>
    </row>
    <row r="71" spans="1:17" ht="12.95" customHeight="1">
      <c r="A71" s="886" t="s">
        <v>334</v>
      </c>
      <c r="B71" s="887">
        <v>46141</v>
      </c>
      <c r="C71" s="17" t="s">
        <v>245</v>
      </c>
      <c r="D71" s="17">
        <v>2943</v>
      </c>
      <c r="E71" s="18" t="s">
        <v>156</v>
      </c>
      <c r="F71" s="889">
        <v>10000</v>
      </c>
      <c r="G71" s="20" t="s">
        <v>15</v>
      </c>
      <c r="H71" s="239" t="s">
        <v>383</v>
      </c>
      <c r="I71" s="22">
        <v>46198</v>
      </c>
      <c r="J71" s="17">
        <v>20016198</v>
      </c>
      <c r="K71" s="23" t="s">
        <v>242</v>
      </c>
      <c r="L71" s="18" t="s">
        <v>201</v>
      </c>
      <c r="M71" s="18" t="s">
        <v>360</v>
      </c>
      <c r="N71" s="24">
        <v>1100</v>
      </c>
      <c r="O71" s="25" t="s">
        <v>15</v>
      </c>
      <c r="P71" s="26">
        <f>+N71+N72+N73+N74+N75+N76+N77+N78</f>
        <v>4950</v>
      </c>
      <c r="Q71" s="27"/>
    </row>
    <row r="72" spans="1:17" ht="12.95" customHeight="1">
      <c r="A72" s="864" t="s">
        <v>370</v>
      </c>
      <c r="B72" s="885"/>
      <c r="C72" s="863"/>
      <c r="D72" s="863"/>
      <c r="E72" s="18"/>
      <c r="F72" s="19"/>
      <c r="G72" s="20"/>
      <c r="H72" s="239" t="s">
        <v>383</v>
      </c>
      <c r="I72" s="22">
        <v>46198</v>
      </c>
      <c r="J72" s="17">
        <v>20016198</v>
      </c>
      <c r="K72" s="23" t="s">
        <v>242</v>
      </c>
      <c r="L72" s="18" t="s">
        <v>207</v>
      </c>
      <c r="M72" s="18" t="s">
        <v>350</v>
      </c>
      <c r="N72" s="24">
        <v>550</v>
      </c>
      <c r="O72" s="25" t="s">
        <v>15</v>
      </c>
      <c r="P72" s="26"/>
      <c r="Q72" s="27"/>
    </row>
    <row r="73" spans="1:17" ht="12.95" customHeight="1">
      <c r="A73" s="926"/>
      <c r="B73" s="927"/>
      <c r="C73" s="927"/>
      <c r="D73" s="927"/>
      <c r="E73" s="18"/>
      <c r="F73" s="19"/>
      <c r="G73" s="20"/>
      <c r="H73" s="239" t="s">
        <v>398</v>
      </c>
      <c r="I73" s="22">
        <v>46211</v>
      </c>
      <c r="J73" s="17">
        <v>20016267</v>
      </c>
      <c r="K73" s="23" t="s">
        <v>242</v>
      </c>
      <c r="L73" s="18" t="s">
        <v>201</v>
      </c>
      <c r="M73" s="18" t="s">
        <v>360</v>
      </c>
      <c r="N73" s="24">
        <v>550</v>
      </c>
      <c r="O73" s="25" t="s">
        <v>15</v>
      </c>
      <c r="P73" s="26"/>
      <c r="Q73" s="27"/>
    </row>
    <row r="74" spans="1:17" ht="12.95" customHeight="1">
      <c r="A74" s="926"/>
      <c r="B74" s="927"/>
      <c r="C74" s="927"/>
      <c r="D74" s="927"/>
      <c r="E74" s="18"/>
      <c r="F74" s="19"/>
      <c r="G74" s="20"/>
      <c r="H74" s="239" t="s">
        <v>399</v>
      </c>
      <c r="I74" s="22">
        <v>46217</v>
      </c>
      <c r="J74" s="17">
        <v>20016304</v>
      </c>
      <c r="K74" s="23" t="s">
        <v>242</v>
      </c>
      <c r="L74" s="18" t="s">
        <v>211</v>
      </c>
      <c r="M74" s="18" t="s">
        <v>254</v>
      </c>
      <c r="N74" s="24">
        <v>550</v>
      </c>
      <c r="O74" s="25" t="s">
        <v>15</v>
      </c>
      <c r="P74" s="26"/>
      <c r="Q74" s="27"/>
    </row>
    <row r="75" spans="1:17" ht="12.95" customHeight="1">
      <c r="A75" s="926"/>
      <c r="B75" s="927"/>
      <c r="C75" s="927"/>
      <c r="D75" s="927"/>
      <c r="E75" s="18"/>
      <c r="F75" s="19"/>
      <c r="G75" s="20"/>
      <c r="H75" s="239" t="s">
        <v>399</v>
      </c>
      <c r="I75" s="22">
        <v>46217</v>
      </c>
      <c r="J75" s="17">
        <v>20016304</v>
      </c>
      <c r="K75" s="23" t="s">
        <v>242</v>
      </c>
      <c r="L75" s="18" t="s">
        <v>201</v>
      </c>
      <c r="M75" s="18" t="s">
        <v>360</v>
      </c>
      <c r="N75" s="24">
        <v>550</v>
      </c>
      <c r="O75" s="25" t="s">
        <v>15</v>
      </c>
      <c r="P75" s="26"/>
      <c r="Q75" s="27"/>
    </row>
    <row r="76" spans="1:17" ht="12.95" customHeight="1">
      <c r="A76" s="926"/>
      <c r="B76" s="927"/>
      <c r="C76" s="927"/>
      <c r="D76" s="927"/>
      <c r="E76" s="18"/>
      <c r="F76" s="19"/>
      <c r="G76" s="20"/>
      <c r="H76" s="21" t="s">
        <v>409</v>
      </c>
      <c r="I76" s="22">
        <v>46247</v>
      </c>
      <c r="J76" s="17">
        <v>20016453</v>
      </c>
      <c r="K76" s="23" t="s">
        <v>242</v>
      </c>
      <c r="L76" s="18" t="s">
        <v>211</v>
      </c>
      <c r="M76" s="18" t="s">
        <v>254</v>
      </c>
      <c r="N76" s="24">
        <v>550</v>
      </c>
      <c r="O76" s="25" t="s">
        <v>15</v>
      </c>
      <c r="P76" s="26"/>
      <c r="Q76" s="27"/>
    </row>
    <row r="77" spans="1:17" ht="12.95" customHeight="1">
      <c r="A77" s="864"/>
      <c r="B77" s="885"/>
      <c r="C77" s="863"/>
      <c r="D77" s="863"/>
      <c r="E77" s="18"/>
      <c r="F77" s="19"/>
      <c r="G77" s="20"/>
      <c r="H77" s="21" t="s">
        <v>409</v>
      </c>
      <c r="I77" s="22">
        <v>46247</v>
      </c>
      <c r="J77" s="17">
        <v>20016453</v>
      </c>
      <c r="K77" s="23" t="s">
        <v>242</v>
      </c>
      <c r="L77" s="18" t="s">
        <v>201</v>
      </c>
      <c r="M77" s="18" t="s">
        <v>360</v>
      </c>
      <c r="N77" s="24">
        <v>550</v>
      </c>
      <c r="O77" s="25" t="s">
        <v>15</v>
      </c>
      <c r="P77" s="26"/>
      <c r="Q77" s="27"/>
    </row>
    <row r="78" spans="1:17" ht="12.95" customHeight="1">
      <c r="A78" s="886"/>
      <c r="B78" s="887"/>
      <c r="C78" s="17"/>
      <c r="D78" s="17"/>
      <c r="E78" s="18"/>
      <c r="F78" s="889"/>
      <c r="G78" s="20"/>
      <c r="H78" s="21" t="s">
        <v>409</v>
      </c>
      <c r="I78" s="22">
        <v>46247</v>
      </c>
      <c r="J78" s="17">
        <v>20016453</v>
      </c>
      <c r="K78" s="23" t="s">
        <v>242</v>
      </c>
      <c r="L78" s="18" t="s">
        <v>207</v>
      </c>
      <c r="M78" s="18" t="s">
        <v>350</v>
      </c>
      <c r="N78" s="24">
        <v>550</v>
      </c>
      <c r="O78" s="25" t="s">
        <v>15</v>
      </c>
      <c r="P78" s="26"/>
      <c r="Q78" s="895">
        <v>10000</v>
      </c>
    </row>
    <row r="79" spans="1:17" ht="12.75" customHeight="1">
      <c r="A79" s="864"/>
      <c r="B79" s="885"/>
      <c r="C79" s="863"/>
      <c r="D79" s="863"/>
      <c r="E79" s="18"/>
      <c r="F79" s="19"/>
      <c r="G79" s="20"/>
      <c r="H79" s="21"/>
      <c r="I79" s="22"/>
      <c r="J79" s="17"/>
      <c r="K79" s="23"/>
      <c r="L79" s="18"/>
      <c r="M79" s="18"/>
      <c r="N79" s="24"/>
      <c r="O79" s="25"/>
      <c r="P79" s="26"/>
      <c r="Q79" s="27"/>
    </row>
    <row r="80" spans="1:17" ht="12.75" customHeight="1">
      <c r="A80" s="928"/>
      <c r="B80" s="885"/>
      <c r="C80" s="863"/>
      <c r="D80" s="863"/>
      <c r="E80" s="18"/>
      <c r="F80" s="929"/>
      <c r="G80" s="20"/>
      <c r="H80" s="21"/>
      <c r="I80" s="22"/>
      <c r="J80" s="17"/>
      <c r="K80" s="23"/>
      <c r="L80" s="18"/>
      <c r="M80" s="18"/>
      <c r="N80" s="24"/>
      <c r="O80" s="25"/>
      <c r="P80" s="26"/>
      <c r="Q80" s="27"/>
    </row>
    <row r="81" spans="1:17" ht="12.75" customHeight="1">
      <c r="A81" s="928"/>
      <c r="B81" s="885"/>
      <c r="C81" s="863"/>
      <c r="D81" s="863"/>
      <c r="E81" s="18"/>
      <c r="F81" s="929"/>
      <c r="G81" s="20"/>
      <c r="H81" s="21"/>
      <c r="I81" s="22"/>
      <c r="J81" s="17"/>
      <c r="K81" s="23"/>
      <c r="L81" s="18"/>
      <c r="M81" s="18"/>
      <c r="N81" s="24"/>
      <c r="O81" s="25"/>
      <c r="P81" s="26"/>
      <c r="Q81" s="27"/>
    </row>
    <row r="82" spans="1:17" ht="12.75" customHeight="1">
      <c r="A82" s="864" t="s">
        <v>372</v>
      </c>
      <c r="B82" s="885"/>
      <c r="C82" s="863"/>
      <c r="D82" s="863"/>
      <c r="E82" s="18"/>
      <c r="F82" s="19"/>
      <c r="G82" s="20"/>
      <c r="H82" s="21"/>
      <c r="I82" s="22"/>
      <c r="J82" s="17"/>
      <c r="K82" s="23"/>
      <c r="L82" s="18"/>
      <c r="M82" s="18"/>
      <c r="N82" s="24"/>
      <c r="O82" s="25"/>
      <c r="P82" s="26"/>
      <c r="Q82" s="27"/>
    </row>
    <row r="83" spans="1:17" ht="12.75" customHeight="1">
      <c r="A83" s="886" t="s">
        <v>369</v>
      </c>
      <c r="B83" s="887">
        <v>46177</v>
      </c>
      <c r="C83" s="17" t="s">
        <v>245</v>
      </c>
      <c r="D83" s="17">
        <v>2943</v>
      </c>
      <c r="E83" s="18" t="s">
        <v>156</v>
      </c>
      <c r="F83" s="889">
        <v>12000</v>
      </c>
      <c r="G83" s="20" t="s">
        <v>15</v>
      </c>
      <c r="H83" s="21"/>
      <c r="I83" s="22"/>
      <c r="J83" s="17"/>
      <c r="K83" s="23"/>
      <c r="L83" s="18"/>
      <c r="M83" s="18"/>
      <c r="N83" s="24"/>
      <c r="O83" s="25"/>
      <c r="P83" s="26"/>
      <c r="Q83" s="27"/>
    </row>
    <row r="84" spans="1:17" ht="12.95" customHeight="1" thickBot="1">
      <c r="A84" s="28"/>
      <c r="B84" s="29"/>
      <c r="C84" s="30"/>
      <c r="D84" s="30"/>
      <c r="E84" s="31"/>
      <c r="F84" s="32"/>
      <c r="G84" s="33"/>
      <c r="H84" s="34"/>
      <c r="I84" s="35"/>
      <c r="J84" s="30"/>
      <c r="K84" s="36"/>
      <c r="L84" s="31"/>
      <c r="M84" s="31"/>
      <c r="N84" s="37"/>
      <c r="O84" s="38"/>
      <c r="P84" s="668"/>
      <c r="Q84" s="669">
        <v>0</v>
      </c>
    </row>
    <row r="85" spans="1:17" ht="12.95" customHeight="1" thickTop="1" thickBot="1">
      <c r="A85" s="39"/>
      <c r="B85" s="40"/>
      <c r="C85" s="41"/>
      <c r="D85" s="41"/>
      <c r="E85" s="42"/>
      <c r="F85" s="43">
        <f>SUM(F4:F84)</f>
        <v>59550</v>
      </c>
      <c r="G85" s="44" t="s">
        <v>15</v>
      </c>
      <c r="H85" s="670"/>
      <c r="I85" s="41"/>
      <c r="J85" s="41"/>
      <c r="K85" s="671"/>
      <c r="L85" s="42"/>
      <c r="M85" s="42"/>
      <c r="N85" s="43">
        <f>SUM(N4:N84)</f>
        <v>42150</v>
      </c>
      <c r="O85" s="49" t="s">
        <v>15</v>
      </c>
      <c r="P85" s="672">
        <f>+SUM(N4:N84)</f>
        <v>42150</v>
      </c>
      <c r="Q85" s="673">
        <f>+F85-P85-150</f>
        <v>17250</v>
      </c>
    </row>
    <row r="87" spans="1:17" ht="25.5">
      <c r="B87" s="942" t="s">
        <v>410</v>
      </c>
      <c r="C87" s="931">
        <v>17250</v>
      </c>
      <c r="D87" s="932" t="s">
        <v>412</v>
      </c>
    </row>
    <row r="88" spans="1:17" ht="25.5">
      <c r="B88" s="943" t="s">
        <v>411</v>
      </c>
      <c r="C88" s="933">
        <f>6900+6395</f>
        <v>13295</v>
      </c>
      <c r="D88" s="932" t="s">
        <v>412</v>
      </c>
    </row>
    <row r="89" spans="1:17" ht="25.5">
      <c r="B89" s="944" t="s">
        <v>413</v>
      </c>
      <c r="C89" s="941">
        <f>+C87-C88</f>
        <v>3955</v>
      </c>
      <c r="D89" s="932" t="s">
        <v>412</v>
      </c>
    </row>
  </sheetData>
  <mergeCells count="2">
    <mergeCell ref="A3:G3"/>
    <mergeCell ref="H3:Q3"/>
  </mergeCells>
  <phoneticPr fontId="13" type="noConversion"/>
  <pageMargins left="0" right="0" top="0" bottom="0" header="0" footer="0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A011-12AA-48BF-B404-4960CC4D6A7A}">
  <sheetPr>
    <pageSetUpPr fitToPage="1"/>
  </sheetPr>
  <dimension ref="A1:Q19"/>
  <sheetViews>
    <sheetView zoomScale="80" zoomScaleNormal="80" workbookViewId="0">
      <selection activeCell="G17" sqref="G17"/>
    </sheetView>
  </sheetViews>
  <sheetFormatPr defaultColWidth="9.140625" defaultRowHeight="16.5"/>
  <cols>
    <col min="1" max="1" width="12.42578125" style="660" customWidth="1"/>
    <col min="2" max="2" width="22.5703125" style="674" customWidth="1"/>
    <col min="3" max="3" width="20.140625" style="660" customWidth="1"/>
    <col min="4" max="4" width="12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1.140625" style="664" customWidth="1"/>
    <col min="10" max="10" width="10.85546875" style="664" customWidth="1"/>
    <col min="11" max="11" width="14" style="665" customWidth="1"/>
    <col min="12" max="12" width="21.7109375" style="660" customWidth="1"/>
    <col min="13" max="13" width="11.140625" style="660" customWidth="1"/>
    <col min="14" max="14" width="10.140625" style="660" customWidth="1"/>
    <col min="15" max="15" width="7.28515625" style="664" customWidth="1"/>
    <col min="16" max="17" width="10.7109375" style="666" bestFit="1" customWidth="1"/>
    <col min="18" max="16384" width="9.140625" style="660"/>
  </cols>
  <sheetData>
    <row r="1" spans="1:17" ht="17.25" thickBot="1">
      <c r="A1" s="660" t="s">
        <v>178</v>
      </c>
      <c r="B1" s="661" t="s">
        <v>272</v>
      </c>
      <c r="D1" s="662" t="s">
        <v>179</v>
      </c>
      <c r="E1" s="663" t="s">
        <v>241</v>
      </c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2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9"/>
    </row>
    <row r="4" spans="1:17" ht="12.95" customHeight="1" thickTop="1">
      <c r="A4" s="15" t="s">
        <v>271</v>
      </c>
      <c r="B4" s="16">
        <v>45943</v>
      </c>
      <c r="C4" s="17" t="s">
        <v>311</v>
      </c>
      <c r="D4" s="17">
        <v>2975</v>
      </c>
      <c r="E4" s="18" t="s">
        <v>156</v>
      </c>
      <c r="F4" s="19">
        <v>3500</v>
      </c>
      <c r="G4" s="20" t="s">
        <v>15</v>
      </c>
      <c r="H4" s="21" t="s">
        <v>275</v>
      </c>
      <c r="I4" s="22">
        <v>45943</v>
      </c>
      <c r="J4" s="17">
        <v>20014867</v>
      </c>
      <c r="K4" s="23" t="s">
        <v>270</v>
      </c>
      <c r="L4" s="18" t="s">
        <v>201</v>
      </c>
      <c r="M4" s="18" t="s">
        <v>351</v>
      </c>
      <c r="N4" s="24">
        <v>550</v>
      </c>
      <c r="O4" s="25" t="s">
        <v>15</v>
      </c>
      <c r="P4" s="26"/>
      <c r="Q4" s="27"/>
    </row>
    <row r="5" spans="1:17" ht="12.95" customHeight="1">
      <c r="A5" s="15"/>
      <c r="B5" s="16"/>
      <c r="C5" s="17"/>
      <c r="D5" s="17"/>
      <c r="E5" s="18"/>
      <c r="F5" s="19"/>
      <c r="G5" s="20"/>
      <c r="H5" s="21" t="s">
        <v>345</v>
      </c>
      <c r="I5" s="22">
        <v>46155</v>
      </c>
      <c r="J5" s="17">
        <v>20015882</v>
      </c>
      <c r="K5" s="23" t="s">
        <v>270</v>
      </c>
      <c r="L5" s="18" t="s">
        <v>344</v>
      </c>
      <c r="M5" s="18" t="s">
        <v>254</v>
      </c>
      <c r="N5" s="24">
        <v>550</v>
      </c>
      <c r="O5" s="25" t="s">
        <v>15</v>
      </c>
      <c r="P5" s="26"/>
      <c r="Q5" s="27"/>
    </row>
    <row r="6" spans="1:17" ht="12.95" customHeight="1">
      <c r="A6" s="15"/>
      <c r="B6" s="16"/>
      <c r="C6" s="17"/>
      <c r="D6" s="17"/>
      <c r="E6" s="18"/>
      <c r="F6" s="19"/>
      <c r="G6" s="20"/>
      <c r="H6" s="21" t="s">
        <v>345</v>
      </c>
      <c r="I6" s="22">
        <v>46155</v>
      </c>
      <c r="J6" s="17">
        <v>20015882</v>
      </c>
      <c r="K6" s="23" t="s">
        <v>270</v>
      </c>
      <c r="L6" s="18" t="s">
        <v>292</v>
      </c>
      <c r="M6" s="18" t="s">
        <v>350</v>
      </c>
      <c r="N6" s="24">
        <v>550</v>
      </c>
      <c r="O6" s="25" t="s">
        <v>15</v>
      </c>
      <c r="P6" s="26"/>
      <c r="Q6" s="27"/>
    </row>
    <row r="7" spans="1:17" ht="12.95" customHeight="1">
      <c r="A7" s="15"/>
      <c r="B7" s="16"/>
      <c r="C7" s="17"/>
      <c r="D7" s="17"/>
      <c r="E7" s="18"/>
      <c r="F7" s="19"/>
      <c r="G7" s="20"/>
      <c r="H7" s="21" t="s">
        <v>355</v>
      </c>
      <c r="I7" s="22">
        <v>46161</v>
      </c>
      <c r="J7" s="17">
        <v>20015936</v>
      </c>
      <c r="K7" s="23" t="s">
        <v>270</v>
      </c>
      <c r="L7" s="18" t="s">
        <v>201</v>
      </c>
      <c r="M7" s="18" t="s">
        <v>360</v>
      </c>
      <c r="N7" s="24">
        <v>550</v>
      </c>
      <c r="O7" s="25" t="s">
        <v>15</v>
      </c>
      <c r="P7" s="26"/>
      <c r="Q7" s="815"/>
    </row>
    <row r="8" spans="1:17" ht="12.95" customHeight="1">
      <c r="A8" s="15"/>
      <c r="B8" s="16"/>
      <c r="C8" s="17"/>
      <c r="D8" s="17"/>
      <c r="E8" s="18"/>
      <c r="F8" s="19"/>
      <c r="G8" s="20"/>
      <c r="H8" s="21" t="s">
        <v>368</v>
      </c>
      <c r="I8" s="22">
        <v>46179</v>
      </c>
      <c r="J8" s="17">
        <v>20016044</v>
      </c>
      <c r="K8" s="23" t="s">
        <v>270</v>
      </c>
      <c r="L8" s="18" t="s">
        <v>201</v>
      </c>
      <c r="M8" s="18" t="s">
        <v>360</v>
      </c>
      <c r="N8" s="24">
        <v>550</v>
      </c>
      <c r="O8" s="25" t="s">
        <v>15</v>
      </c>
      <c r="P8" s="26"/>
      <c r="Q8" s="815"/>
    </row>
    <row r="9" spans="1:17" ht="12.95" customHeight="1">
      <c r="A9" s="15"/>
      <c r="B9" s="16"/>
      <c r="C9" s="17"/>
      <c r="D9" s="17"/>
      <c r="E9" s="18"/>
      <c r="F9" s="19"/>
      <c r="G9" s="20"/>
      <c r="H9" s="21" t="s">
        <v>384</v>
      </c>
      <c r="I9" s="22">
        <v>46203</v>
      </c>
      <c r="J9" s="17">
        <v>20016224</v>
      </c>
      <c r="K9" s="23" t="s">
        <v>270</v>
      </c>
      <c r="L9" s="18" t="s">
        <v>201</v>
      </c>
      <c r="M9" s="18" t="s">
        <v>360</v>
      </c>
      <c r="N9" s="24">
        <v>550</v>
      </c>
      <c r="O9" s="25" t="s">
        <v>15</v>
      </c>
      <c r="P9" s="26"/>
      <c r="Q9" s="27"/>
    </row>
    <row r="10" spans="1:17" ht="12.95" customHeight="1">
      <c r="A10" s="15" t="s">
        <v>385</v>
      </c>
      <c r="B10" s="16">
        <v>46203</v>
      </c>
      <c r="C10" s="17" t="s">
        <v>389</v>
      </c>
      <c r="D10" s="17">
        <v>2975</v>
      </c>
      <c r="E10" s="18" t="s">
        <v>156</v>
      </c>
      <c r="F10" s="19">
        <v>5000</v>
      </c>
      <c r="G10" s="20" t="s">
        <v>15</v>
      </c>
      <c r="H10" s="21" t="s">
        <v>404</v>
      </c>
      <c r="I10" s="22">
        <v>46225</v>
      </c>
      <c r="J10" s="17">
        <v>20016351</v>
      </c>
      <c r="K10" s="23" t="s">
        <v>270</v>
      </c>
      <c r="L10" s="18" t="s">
        <v>201</v>
      </c>
      <c r="M10" s="18" t="s">
        <v>360</v>
      </c>
      <c r="N10" s="24">
        <v>550</v>
      </c>
      <c r="O10" s="25" t="s">
        <v>15</v>
      </c>
      <c r="P10" s="26"/>
      <c r="Q10" s="27"/>
    </row>
    <row r="11" spans="1:17" ht="12.95" customHeight="1">
      <c r="A11" s="731" t="s">
        <v>391</v>
      </c>
      <c r="B11" s="16"/>
      <c r="C11" s="17"/>
      <c r="D11" s="17"/>
      <c r="E11" s="18"/>
      <c r="F11" s="19"/>
      <c r="G11" s="20"/>
      <c r="H11" s="21" t="s">
        <v>408</v>
      </c>
      <c r="I11" s="22">
        <v>46238</v>
      </c>
      <c r="J11" s="17">
        <v>20016432</v>
      </c>
      <c r="K11" s="23" t="s">
        <v>270</v>
      </c>
      <c r="L11" s="18" t="s">
        <v>201</v>
      </c>
      <c r="M11" s="18" t="s">
        <v>360</v>
      </c>
      <c r="N11" s="24">
        <v>550</v>
      </c>
      <c r="O11" s="25" t="s">
        <v>15</v>
      </c>
      <c r="P11" s="26"/>
      <c r="Q11" s="27"/>
    </row>
    <row r="12" spans="1:17" ht="12.95" customHeight="1">
      <c r="A12" s="948"/>
      <c r="B12" s="948"/>
      <c r="C12" s="949"/>
      <c r="D12" s="17"/>
      <c r="E12" s="18"/>
      <c r="F12" s="19"/>
      <c r="G12" s="20"/>
      <c r="H12" s="21" t="s">
        <v>408</v>
      </c>
      <c r="I12" s="22">
        <v>46238</v>
      </c>
      <c r="J12" s="17">
        <v>20016432</v>
      </c>
      <c r="K12" s="23" t="s">
        <v>270</v>
      </c>
      <c r="L12" s="18" t="s">
        <v>292</v>
      </c>
      <c r="M12" s="18" t="s">
        <v>350</v>
      </c>
      <c r="N12" s="24">
        <v>550</v>
      </c>
      <c r="O12" s="25" t="s">
        <v>15</v>
      </c>
      <c r="P12" s="26"/>
      <c r="Q12" s="27"/>
    </row>
    <row r="13" spans="1:17" ht="12.95" customHeight="1">
      <c r="A13" s="948"/>
      <c r="B13" s="948"/>
      <c r="C13" s="949"/>
      <c r="D13" s="17"/>
      <c r="E13" s="18"/>
      <c r="F13" s="19"/>
      <c r="G13" s="20"/>
      <c r="H13" s="21"/>
      <c r="I13" s="22"/>
      <c r="J13" s="17"/>
      <c r="K13" s="23"/>
      <c r="L13" s="18"/>
      <c r="M13" s="18"/>
      <c r="N13" s="24"/>
      <c r="O13" s="25"/>
      <c r="P13" s="26"/>
      <c r="Q13" s="27"/>
    </row>
    <row r="14" spans="1:17" ht="12.95" customHeight="1" thickBot="1">
      <c r="A14" s="945"/>
      <c r="B14" s="946"/>
      <c r="C14" s="947"/>
      <c r="D14" s="30"/>
      <c r="E14" s="31"/>
      <c r="F14" s="32"/>
      <c r="G14" s="33"/>
      <c r="H14" s="34"/>
      <c r="I14" s="35"/>
      <c r="J14" s="30"/>
      <c r="K14" s="36"/>
      <c r="L14" s="31"/>
      <c r="M14" s="31"/>
      <c r="N14" s="37"/>
      <c r="O14" s="38"/>
      <c r="P14" s="668"/>
      <c r="Q14" s="669">
        <v>0</v>
      </c>
    </row>
    <row r="15" spans="1:17" ht="12.95" customHeight="1" thickTop="1" thickBot="1">
      <c r="A15" s="39"/>
      <c r="B15" s="40"/>
      <c r="C15" s="41"/>
      <c r="D15" s="41"/>
      <c r="E15" s="42"/>
      <c r="F15" s="43">
        <f>SUM(F4:F14)</f>
        <v>8500</v>
      </c>
      <c r="G15" s="44" t="s">
        <v>15</v>
      </c>
      <c r="H15" s="670"/>
      <c r="I15" s="41"/>
      <c r="J15" s="41"/>
      <c r="K15" s="671"/>
      <c r="L15" s="42"/>
      <c r="M15" s="42"/>
      <c r="N15" s="43">
        <f>SUM(N4:N14)</f>
        <v>4950</v>
      </c>
      <c r="O15" s="49" t="s">
        <v>15</v>
      </c>
      <c r="P15" s="672"/>
      <c r="Q15" s="894">
        <f>+F15-N15</f>
        <v>3550</v>
      </c>
    </row>
    <row r="17" spans="1:17" ht="25.5">
      <c r="A17" s="930"/>
      <c r="B17" s="942" t="s">
        <v>410</v>
      </c>
      <c r="C17" s="931">
        <v>3550</v>
      </c>
      <c r="D17" s="932" t="s">
        <v>412</v>
      </c>
      <c r="E17" s="926"/>
    </row>
    <row r="18" spans="1:17" ht="25.5">
      <c r="A18" s="930"/>
      <c r="B18" s="943" t="s">
        <v>411</v>
      </c>
      <c r="C18" s="933">
        <v>1285</v>
      </c>
      <c r="D18" s="932" t="s">
        <v>412</v>
      </c>
      <c r="F18" s="664"/>
      <c r="G18" s="660"/>
      <c r="H18" s="664"/>
      <c r="J18" s="665"/>
      <c r="K18" s="660"/>
      <c r="N18" s="664"/>
      <c r="O18" s="666"/>
      <c r="Q18" s="660"/>
    </row>
    <row r="19" spans="1:17" ht="25.5">
      <c r="A19" s="930"/>
      <c r="B19" s="944" t="s">
        <v>413</v>
      </c>
      <c r="C19" s="941">
        <f>+C17-C18</f>
        <v>2265</v>
      </c>
      <c r="D19" s="932" t="s">
        <v>412</v>
      </c>
      <c r="E19" s="950"/>
    </row>
  </sheetData>
  <mergeCells count="2">
    <mergeCell ref="A3:G3"/>
    <mergeCell ref="H3:Q3"/>
  </mergeCells>
  <phoneticPr fontId="13" type="noConversion"/>
  <pageMargins left="0" right="0" top="0.75" bottom="0.75" header="0.3" footer="0.3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0DCC-BF62-4E46-94A2-BDB8AE090B6B}">
  <sheetPr>
    <pageSetUpPr fitToPage="1"/>
  </sheetPr>
  <dimension ref="A1:Q30"/>
  <sheetViews>
    <sheetView zoomScale="80" zoomScaleNormal="80" workbookViewId="0">
      <pane xSplit="7" ySplit="2" topLeftCell="H12" activePane="bottomRight" state="frozen"/>
      <selection pane="topRight" activeCell="H1" sqref="H1"/>
      <selection pane="bottomLeft" activeCell="A5" sqref="A5"/>
      <selection pane="bottomRight" activeCell="C31" sqref="C31"/>
    </sheetView>
  </sheetViews>
  <sheetFormatPr defaultColWidth="9.140625" defaultRowHeight="16.5"/>
  <cols>
    <col min="1" max="1" width="12.42578125" style="660" customWidth="1"/>
    <col min="2" max="2" width="22" style="674" customWidth="1"/>
    <col min="3" max="3" width="11" style="660" customWidth="1"/>
    <col min="4" max="4" width="12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2.42578125" style="664" customWidth="1"/>
    <col min="10" max="10" width="10.85546875" style="664" customWidth="1"/>
    <col min="11" max="11" width="14" style="665" customWidth="1"/>
    <col min="12" max="12" width="16.7109375" style="660" customWidth="1"/>
    <col min="13" max="13" width="11.140625" style="660" customWidth="1"/>
    <col min="14" max="14" width="10.140625" style="660" customWidth="1"/>
    <col min="15" max="15" width="7.28515625" style="664" customWidth="1"/>
    <col min="16" max="17" width="10.7109375" style="666" bestFit="1" customWidth="1"/>
    <col min="18" max="16384" width="9.140625" style="660"/>
  </cols>
  <sheetData>
    <row r="1" spans="1:17" ht="17.25" thickBot="1">
      <c r="A1" s="660" t="s">
        <v>178</v>
      </c>
      <c r="B1" s="661" t="s">
        <v>230</v>
      </c>
      <c r="D1" s="662" t="s">
        <v>179</v>
      </c>
      <c r="E1" s="663" t="s">
        <v>177</v>
      </c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2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9"/>
    </row>
    <row r="4" spans="1:17" ht="12.95" customHeight="1" thickTop="1">
      <c r="A4" s="675">
        <v>45390</v>
      </c>
      <c r="B4" s="676" t="s">
        <v>154</v>
      </c>
      <c r="C4" s="677" t="s">
        <v>155</v>
      </c>
      <c r="D4" s="677">
        <v>1419</v>
      </c>
      <c r="E4" s="678" t="s">
        <v>156</v>
      </c>
      <c r="F4" s="679">
        <v>3300</v>
      </c>
      <c r="G4" s="680" t="s">
        <v>15</v>
      </c>
      <c r="H4" s="681" t="s">
        <v>96</v>
      </c>
      <c r="I4" s="682">
        <v>45418</v>
      </c>
      <c r="J4" s="683">
        <v>20012398</v>
      </c>
      <c r="K4" s="684" t="s">
        <v>157</v>
      </c>
      <c r="L4" s="685" t="s">
        <v>127</v>
      </c>
      <c r="M4" s="685" t="s">
        <v>158</v>
      </c>
      <c r="N4" s="686">
        <v>550</v>
      </c>
      <c r="O4" s="687" t="s">
        <v>15</v>
      </c>
      <c r="P4" s="688"/>
      <c r="Q4" s="689"/>
    </row>
    <row r="5" spans="1:17" ht="12.95" customHeight="1">
      <c r="A5" s="690"/>
      <c r="B5" s="691"/>
      <c r="C5" s="692" t="s">
        <v>176</v>
      </c>
      <c r="D5" s="241"/>
      <c r="E5" s="242"/>
      <c r="F5" s="693"/>
      <c r="G5" s="243"/>
      <c r="H5" s="694" t="s">
        <v>96</v>
      </c>
      <c r="I5" s="695">
        <v>45418</v>
      </c>
      <c r="J5" s="696">
        <v>20012398</v>
      </c>
      <c r="K5" s="697" t="s">
        <v>157</v>
      </c>
      <c r="L5" s="698" t="s">
        <v>97</v>
      </c>
      <c r="M5" s="698" t="s">
        <v>159</v>
      </c>
      <c r="N5" s="699">
        <v>550</v>
      </c>
      <c r="O5" s="700" t="s">
        <v>15</v>
      </c>
      <c r="P5" s="701"/>
      <c r="Q5" s="702"/>
    </row>
    <row r="6" spans="1:17" ht="12.95" customHeight="1">
      <c r="A6" s="703"/>
      <c r="B6" s="691"/>
      <c r="C6" s="241"/>
      <c r="D6" s="241"/>
      <c r="E6" s="242"/>
      <c r="F6" s="693"/>
      <c r="G6" s="243"/>
      <c r="H6" s="694" t="s">
        <v>96</v>
      </c>
      <c r="I6" s="695">
        <v>45418</v>
      </c>
      <c r="J6" s="696">
        <v>20012398</v>
      </c>
      <c r="K6" s="697" t="s">
        <v>157</v>
      </c>
      <c r="L6" s="698" t="s">
        <v>30</v>
      </c>
      <c r="M6" s="698" t="s">
        <v>160</v>
      </c>
      <c r="N6" s="699">
        <v>550</v>
      </c>
      <c r="O6" s="700" t="s">
        <v>15</v>
      </c>
      <c r="P6" s="701"/>
      <c r="Q6" s="702"/>
    </row>
    <row r="7" spans="1:17" ht="12.95" customHeight="1">
      <c r="A7" s="703"/>
      <c r="B7" s="691"/>
      <c r="C7" s="241"/>
      <c r="D7" s="241"/>
      <c r="E7" s="242"/>
      <c r="F7" s="693"/>
      <c r="G7" s="243"/>
      <c r="H7" s="246" t="s">
        <v>103</v>
      </c>
      <c r="I7" s="247">
        <v>45461</v>
      </c>
      <c r="J7" s="248">
        <v>20012665</v>
      </c>
      <c r="K7" s="697" t="s">
        <v>157</v>
      </c>
      <c r="L7" s="249" t="s">
        <v>127</v>
      </c>
      <c r="M7" s="249" t="s">
        <v>158</v>
      </c>
      <c r="N7" s="704">
        <v>550</v>
      </c>
      <c r="O7" s="705" t="s">
        <v>15</v>
      </c>
      <c r="P7" s="701"/>
      <c r="Q7" s="702"/>
    </row>
    <row r="8" spans="1:17" ht="12.95" customHeight="1">
      <c r="A8" s="703"/>
      <c r="B8" s="691"/>
      <c r="C8" s="241"/>
      <c r="D8" s="241"/>
      <c r="E8" s="242"/>
      <c r="F8" s="693"/>
      <c r="G8" s="243"/>
      <c r="H8" s="246" t="s">
        <v>103</v>
      </c>
      <c r="I8" s="247">
        <v>45461</v>
      </c>
      <c r="J8" s="248">
        <v>20012665</v>
      </c>
      <c r="K8" s="697" t="s">
        <v>157</v>
      </c>
      <c r="L8" s="249" t="s">
        <v>97</v>
      </c>
      <c r="M8" s="249" t="s">
        <v>159</v>
      </c>
      <c r="N8" s="704">
        <v>550</v>
      </c>
      <c r="O8" s="705" t="s">
        <v>15</v>
      </c>
      <c r="P8" s="701"/>
      <c r="Q8" s="702"/>
    </row>
    <row r="9" spans="1:17" ht="12.95" customHeight="1">
      <c r="A9" s="703"/>
      <c r="B9" s="691"/>
      <c r="C9" s="241"/>
      <c r="D9" s="241"/>
      <c r="E9" s="242"/>
      <c r="F9" s="693"/>
      <c r="G9" s="243"/>
      <c r="H9" s="246" t="s">
        <v>103</v>
      </c>
      <c r="I9" s="247">
        <v>45461</v>
      </c>
      <c r="J9" s="248">
        <v>20012665</v>
      </c>
      <c r="K9" s="697" t="s">
        <v>157</v>
      </c>
      <c r="L9" s="249" t="s">
        <v>30</v>
      </c>
      <c r="M9" s="249" t="s">
        <v>160</v>
      </c>
      <c r="N9" s="704">
        <v>550</v>
      </c>
      <c r="O9" s="705" t="s">
        <v>15</v>
      </c>
      <c r="P9" s="701">
        <f>SUM(N4:N9)</f>
        <v>3300</v>
      </c>
      <c r="Q9" s="702">
        <f>P9-F4</f>
        <v>0</v>
      </c>
    </row>
    <row r="10" spans="1:17" ht="12.95" customHeight="1">
      <c r="A10" s="706" t="s">
        <v>161</v>
      </c>
      <c r="B10" s="707">
        <v>45524</v>
      </c>
      <c r="C10" s="708" t="s">
        <v>155</v>
      </c>
      <c r="D10" s="708">
        <v>1419</v>
      </c>
      <c r="E10" s="709" t="s">
        <v>156</v>
      </c>
      <c r="F10" s="710">
        <v>3300</v>
      </c>
      <c r="G10" s="711" t="s">
        <v>15</v>
      </c>
      <c r="H10" s="712" t="s">
        <v>162</v>
      </c>
      <c r="I10" s="713">
        <v>45566</v>
      </c>
      <c r="J10" s="714">
        <v>20013196</v>
      </c>
      <c r="K10" s="715" t="s">
        <v>157</v>
      </c>
      <c r="L10" s="716" t="s">
        <v>30</v>
      </c>
      <c r="M10" s="716" t="s">
        <v>160</v>
      </c>
      <c r="N10" s="717">
        <v>550</v>
      </c>
      <c r="O10" s="718" t="s">
        <v>15</v>
      </c>
      <c r="P10" s="719"/>
      <c r="Q10" s="720"/>
    </row>
    <row r="11" spans="1:17" ht="12.95" customHeight="1">
      <c r="A11" s="706"/>
      <c r="B11" s="707"/>
      <c r="C11" s="708"/>
      <c r="D11" s="708"/>
      <c r="E11" s="709"/>
      <c r="F11" s="710"/>
      <c r="G11" s="711"/>
      <c r="H11" s="712" t="s">
        <v>126</v>
      </c>
      <c r="I11" s="713">
        <v>45573</v>
      </c>
      <c r="J11" s="714">
        <v>20013225</v>
      </c>
      <c r="K11" s="715" t="s">
        <v>157</v>
      </c>
      <c r="L11" s="716" t="s">
        <v>127</v>
      </c>
      <c r="M11" s="716" t="s">
        <v>158</v>
      </c>
      <c r="N11" s="717">
        <v>550</v>
      </c>
      <c r="O11" s="718" t="s">
        <v>15</v>
      </c>
      <c r="P11" s="719"/>
      <c r="Q11" s="720"/>
    </row>
    <row r="12" spans="1:17" ht="12.95" customHeight="1">
      <c r="A12" s="706"/>
      <c r="B12" s="707"/>
      <c r="C12" s="708"/>
      <c r="D12" s="708"/>
      <c r="E12" s="709"/>
      <c r="F12" s="710"/>
      <c r="G12" s="711"/>
      <c r="H12" s="712" t="s">
        <v>126</v>
      </c>
      <c r="I12" s="713">
        <v>45573</v>
      </c>
      <c r="J12" s="714">
        <v>20013225</v>
      </c>
      <c r="K12" s="715" t="s">
        <v>157</v>
      </c>
      <c r="L12" s="716" t="s">
        <v>97</v>
      </c>
      <c r="M12" s="716" t="s">
        <v>159</v>
      </c>
      <c r="N12" s="717">
        <v>550</v>
      </c>
      <c r="O12" s="718" t="s">
        <v>15</v>
      </c>
      <c r="P12" s="721"/>
      <c r="Q12" s="722"/>
    </row>
    <row r="13" spans="1:17" ht="12.95" customHeight="1">
      <c r="A13" s="706"/>
      <c r="B13" s="707"/>
      <c r="C13" s="708"/>
      <c r="D13" s="708"/>
      <c r="E13" s="709"/>
      <c r="F13" s="710"/>
      <c r="G13" s="711"/>
      <c r="H13" s="712" t="s">
        <v>200</v>
      </c>
      <c r="I13" s="713">
        <v>45720</v>
      </c>
      <c r="J13" s="714">
        <v>20013919</v>
      </c>
      <c r="K13" s="715" t="s">
        <v>157</v>
      </c>
      <c r="L13" s="716" t="s">
        <v>201</v>
      </c>
      <c r="M13" s="716" t="s">
        <v>158</v>
      </c>
      <c r="N13" s="717">
        <v>550</v>
      </c>
      <c r="O13" s="718" t="s">
        <v>15</v>
      </c>
      <c r="P13" s="723"/>
      <c r="Q13" s="722"/>
    </row>
    <row r="14" spans="1:17" ht="12.95" customHeight="1">
      <c r="A14" s="706"/>
      <c r="B14" s="707"/>
      <c r="C14" s="708"/>
      <c r="D14" s="708"/>
      <c r="E14" s="709"/>
      <c r="F14" s="710"/>
      <c r="G14" s="711"/>
      <c r="H14" s="712" t="s">
        <v>205</v>
      </c>
      <c r="I14" s="713">
        <v>45734</v>
      </c>
      <c r="J14" s="714">
        <v>20013999</v>
      </c>
      <c r="K14" s="715" t="s">
        <v>157</v>
      </c>
      <c r="L14" s="716" t="s">
        <v>97</v>
      </c>
      <c r="M14" s="716" t="s">
        <v>159</v>
      </c>
      <c r="N14" s="717">
        <v>550</v>
      </c>
      <c r="O14" s="718" t="s">
        <v>15</v>
      </c>
      <c r="P14" s="723"/>
      <c r="Q14" s="722"/>
    </row>
    <row r="15" spans="1:17" ht="12.95" customHeight="1">
      <c r="A15" s="706"/>
      <c r="B15" s="707"/>
      <c r="C15" s="708"/>
      <c r="D15" s="708"/>
      <c r="E15" s="709"/>
      <c r="F15" s="710"/>
      <c r="G15" s="711"/>
      <c r="H15" s="712" t="s">
        <v>206</v>
      </c>
      <c r="I15" s="713">
        <v>45741</v>
      </c>
      <c r="J15" s="714">
        <v>20014023</v>
      </c>
      <c r="K15" s="715" t="s">
        <v>157</v>
      </c>
      <c r="L15" s="716" t="s">
        <v>207</v>
      </c>
      <c r="M15" s="716" t="s">
        <v>160</v>
      </c>
      <c r="N15" s="717">
        <v>550</v>
      </c>
      <c r="O15" s="718" t="s">
        <v>15</v>
      </c>
      <c r="P15" s="724">
        <f>SUM(N10:N15)</f>
        <v>3300</v>
      </c>
      <c r="Q15" s="725" t="s">
        <v>175</v>
      </c>
    </row>
    <row r="16" spans="1:17" ht="12.95" customHeight="1">
      <c r="A16" s="15" t="s">
        <v>208</v>
      </c>
      <c r="B16" s="16">
        <v>45729</v>
      </c>
      <c r="C16" s="17" t="s">
        <v>155</v>
      </c>
      <c r="D16" s="17">
        <v>1419</v>
      </c>
      <c r="E16" s="18" t="s">
        <v>156</v>
      </c>
      <c r="F16" s="19">
        <v>3300</v>
      </c>
      <c r="G16" s="20" t="s">
        <v>15</v>
      </c>
      <c r="H16" s="816" t="s">
        <v>268</v>
      </c>
      <c r="I16" s="726">
        <v>45881</v>
      </c>
      <c r="J16" s="727">
        <v>20014635</v>
      </c>
      <c r="K16" s="728" t="s">
        <v>157</v>
      </c>
      <c r="L16" s="732" t="s">
        <v>127</v>
      </c>
      <c r="M16" s="732" t="s">
        <v>327</v>
      </c>
      <c r="N16" s="733">
        <v>550</v>
      </c>
      <c r="O16" s="734" t="s">
        <v>15</v>
      </c>
      <c r="P16" s="729">
        <f>+N16+N17+N18+N19</f>
        <v>2200</v>
      </c>
      <c r="Q16" s="730">
        <f>+F16-P16</f>
        <v>1100</v>
      </c>
    </row>
    <row r="17" spans="1:17" ht="12.95" customHeight="1">
      <c r="A17" s="731" t="s">
        <v>239</v>
      </c>
      <c r="B17" s="16"/>
      <c r="C17" s="17"/>
      <c r="D17" s="17"/>
      <c r="E17" s="18"/>
      <c r="F17" s="19"/>
      <c r="G17" s="20"/>
      <c r="H17" s="952" t="s">
        <v>300</v>
      </c>
      <c r="I17" s="866">
        <v>46071</v>
      </c>
      <c r="J17" s="867">
        <v>20015351</v>
      </c>
      <c r="K17" s="868" t="s">
        <v>157</v>
      </c>
      <c r="L17" s="869" t="s">
        <v>127</v>
      </c>
      <c r="M17" s="869" t="s">
        <v>327</v>
      </c>
      <c r="N17" s="870">
        <v>550</v>
      </c>
      <c r="O17" s="871" t="s">
        <v>15</v>
      </c>
      <c r="P17" s="872"/>
      <c r="Q17" s="873"/>
    </row>
    <row r="18" spans="1:17" ht="12.95" customHeight="1">
      <c r="A18" s="926"/>
      <c r="B18" s="16"/>
      <c r="C18" s="17"/>
      <c r="D18" s="17"/>
      <c r="E18" s="18"/>
      <c r="F18" s="19"/>
      <c r="G18" s="20"/>
      <c r="H18" s="953" t="s">
        <v>328</v>
      </c>
      <c r="I18" s="874">
        <v>46133</v>
      </c>
      <c r="J18" s="875">
        <v>20015718</v>
      </c>
      <c r="K18" s="868" t="s">
        <v>157</v>
      </c>
      <c r="L18" s="869" t="s">
        <v>127</v>
      </c>
      <c r="M18" s="869" t="s">
        <v>327</v>
      </c>
      <c r="N18" s="870">
        <v>550</v>
      </c>
      <c r="O18" s="871" t="s">
        <v>15</v>
      </c>
      <c r="P18" s="876"/>
      <c r="Q18" s="877"/>
    </row>
    <row r="19" spans="1:17" ht="12.95" customHeight="1">
      <c r="A19" s="15"/>
      <c r="B19" s="16"/>
      <c r="C19" s="17"/>
      <c r="D19" s="17"/>
      <c r="E19" s="18"/>
      <c r="F19" s="19"/>
      <c r="G19" s="20"/>
      <c r="H19" s="953" t="s">
        <v>374</v>
      </c>
      <c r="I19" s="874">
        <v>46179</v>
      </c>
      <c r="J19" s="875">
        <v>20016044</v>
      </c>
      <c r="K19" s="868" t="s">
        <v>157</v>
      </c>
      <c r="L19" s="869" t="s">
        <v>127</v>
      </c>
      <c r="M19" s="869" t="s">
        <v>327</v>
      </c>
      <c r="N19" s="870">
        <v>550</v>
      </c>
      <c r="O19" s="871" t="s">
        <v>15</v>
      </c>
      <c r="P19" s="876"/>
      <c r="Q19" s="877"/>
    </row>
    <row r="20" spans="1:17" ht="12.95" customHeight="1">
      <c r="A20" s="15"/>
      <c r="B20" s="16"/>
      <c r="C20" s="17"/>
      <c r="D20" s="17"/>
      <c r="E20" s="18"/>
      <c r="F20" s="19"/>
      <c r="G20" s="20"/>
      <c r="H20" s="878"/>
      <c r="I20" s="874"/>
      <c r="J20" s="875"/>
      <c r="K20" s="868"/>
      <c r="L20" s="869"/>
      <c r="M20" s="869"/>
      <c r="N20" s="870"/>
      <c r="O20" s="871"/>
      <c r="P20" s="876"/>
      <c r="Q20" s="877"/>
    </row>
    <row r="21" spans="1:17" ht="12.95" customHeight="1">
      <c r="A21" s="15" t="s">
        <v>385</v>
      </c>
      <c r="B21" s="16">
        <v>46203</v>
      </c>
      <c r="C21" s="17" t="s">
        <v>155</v>
      </c>
      <c r="D21" s="17">
        <v>1419</v>
      </c>
      <c r="E21" s="18" t="s">
        <v>156</v>
      </c>
      <c r="F21" s="19">
        <v>4000</v>
      </c>
      <c r="G21" s="20" t="s">
        <v>15</v>
      </c>
      <c r="H21" s="21"/>
      <c r="I21" s="22"/>
      <c r="J21" s="17"/>
      <c r="K21" s="23"/>
      <c r="L21" s="18"/>
      <c r="M21" s="18"/>
      <c r="N21" s="24"/>
      <c r="O21" s="25"/>
      <c r="P21" s="26"/>
      <c r="Q21" s="27"/>
    </row>
    <row r="22" spans="1:17" ht="12.95" customHeight="1">
      <c r="A22" s="731" t="s">
        <v>390</v>
      </c>
      <c r="B22" s="16"/>
      <c r="C22" s="17"/>
      <c r="D22" s="17"/>
      <c r="E22" s="18"/>
      <c r="F22" s="19"/>
      <c r="G22" s="20"/>
      <c r="H22" s="21"/>
      <c r="I22" s="22"/>
      <c r="J22" s="17"/>
      <c r="K22" s="23"/>
      <c r="L22" s="18"/>
      <c r="M22" s="18"/>
      <c r="N22" s="24"/>
      <c r="O22" s="25"/>
      <c r="P22" s="26"/>
      <c r="Q22" s="27"/>
    </row>
    <row r="23" spans="1:17" ht="12.95" customHeight="1">
      <c r="A23" s="951"/>
      <c r="B23" s="480"/>
      <c r="C23" s="481"/>
      <c r="D23" s="17"/>
      <c r="E23" s="18"/>
      <c r="F23" s="19"/>
      <c r="G23" s="20"/>
      <c r="H23" s="21"/>
      <c r="I23" s="22"/>
      <c r="J23" s="17"/>
      <c r="K23" s="23"/>
      <c r="L23" s="18"/>
      <c r="M23" s="18"/>
      <c r="N23" s="24"/>
      <c r="O23" s="25"/>
      <c r="P23" s="26"/>
      <c r="Q23" s="27"/>
    </row>
    <row r="24" spans="1:17" ht="12.95" customHeight="1">
      <c r="A24" s="951"/>
      <c r="B24" s="480"/>
      <c r="C24" s="481"/>
      <c r="D24" s="17"/>
      <c r="E24" s="18"/>
      <c r="F24" s="19"/>
      <c r="G24" s="20"/>
      <c r="H24" s="21"/>
      <c r="I24" s="22"/>
      <c r="J24" s="17"/>
      <c r="K24" s="23"/>
      <c r="L24" s="18"/>
      <c r="M24" s="18"/>
      <c r="N24" s="24"/>
      <c r="O24" s="25"/>
      <c r="P24" s="26"/>
      <c r="Q24" s="27"/>
    </row>
    <row r="25" spans="1:17" ht="12.95" customHeight="1" thickBot="1">
      <c r="A25" s="28"/>
      <c r="B25" s="29"/>
      <c r="C25" s="30"/>
      <c r="D25" s="30"/>
      <c r="E25" s="31"/>
      <c r="F25" s="32"/>
      <c r="G25" s="33"/>
      <c r="H25" s="34"/>
      <c r="I25" s="35"/>
      <c r="J25" s="30"/>
      <c r="K25" s="36"/>
      <c r="L25" s="31"/>
      <c r="M25" s="31"/>
      <c r="N25" s="37"/>
      <c r="O25" s="38"/>
      <c r="P25" s="668"/>
      <c r="Q25" s="669"/>
    </row>
    <row r="26" spans="1:17" ht="12.95" customHeight="1" thickTop="1" thickBot="1">
      <c r="A26" s="39"/>
      <c r="B26" s="40"/>
      <c r="C26" s="41"/>
      <c r="D26" s="41"/>
      <c r="E26" s="42"/>
      <c r="F26" s="43">
        <f>SUM(F4:F25)</f>
        <v>13900</v>
      </c>
      <c r="G26" s="44" t="s">
        <v>15</v>
      </c>
      <c r="H26" s="670"/>
      <c r="I26" s="41"/>
      <c r="J26" s="41"/>
      <c r="K26" s="671"/>
      <c r="L26" s="42"/>
      <c r="M26" s="42"/>
      <c r="N26" s="43">
        <f>SUM(N4:N25)</f>
        <v>8800</v>
      </c>
      <c r="O26" s="49" t="s">
        <v>15</v>
      </c>
      <c r="P26" s="896">
        <f>+F26-N26</f>
        <v>5100</v>
      </c>
      <c r="Q26" s="673"/>
    </row>
    <row r="28" spans="1:17" ht="25.5">
      <c r="A28" s="930"/>
      <c r="B28" s="942" t="s">
        <v>410</v>
      </c>
      <c r="C28" s="931">
        <v>4050</v>
      </c>
      <c r="D28" s="932" t="s">
        <v>412</v>
      </c>
    </row>
    <row r="29" spans="1:17" ht="25.5">
      <c r="A29" s="930"/>
      <c r="B29" s="943" t="s">
        <v>411</v>
      </c>
      <c r="C29" s="933">
        <v>4050</v>
      </c>
      <c r="D29" s="932" t="s">
        <v>412</v>
      </c>
    </row>
    <row r="30" spans="1:17" ht="25.5">
      <c r="A30" s="930"/>
      <c r="B30" s="944" t="s">
        <v>413</v>
      </c>
      <c r="C30" s="941">
        <f>+C28-C29</f>
        <v>0</v>
      </c>
      <c r="D30" s="932" t="s">
        <v>412</v>
      </c>
    </row>
  </sheetData>
  <mergeCells count="2">
    <mergeCell ref="A3:G3"/>
    <mergeCell ref="H3:Q3"/>
  </mergeCells>
  <pageMargins left="0.25" right="0.25" top="0.75" bottom="0.75" header="0.3" footer="0.3"/>
  <pageSetup paperSize="9"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6F1B-83E8-4A22-8AFE-5843C9B27F0A}">
  <sheetPr>
    <pageSetUpPr fitToPage="1"/>
  </sheetPr>
  <dimension ref="A1:Q25"/>
  <sheetViews>
    <sheetView zoomScale="80" zoomScaleNormal="80" workbookViewId="0">
      <pane xSplit="7" ySplit="2" topLeftCell="H9" activePane="bottomRight" state="frozen"/>
      <selection pane="topRight" activeCell="H1" sqref="H1"/>
      <selection pane="bottomLeft" activeCell="A5" sqref="A5"/>
      <selection pane="bottomRight" activeCell="B23" sqref="B23:D25"/>
    </sheetView>
  </sheetViews>
  <sheetFormatPr defaultColWidth="9.140625" defaultRowHeight="16.5"/>
  <cols>
    <col min="1" max="1" width="12.42578125" style="660" customWidth="1"/>
    <col min="2" max="2" width="22.7109375" style="674" customWidth="1"/>
    <col min="3" max="3" width="21" style="660" customWidth="1"/>
    <col min="4" max="4" width="12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2.42578125" style="664" customWidth="1"/>
    <col min="10" max="10" width="10.85546875" style="664" customWidth="1"/>
    <col min="11" max="11" width="14" style="665" customWidth="1"/>
    <col min="12" max="12" width="16.7109375" style="660" customWidth="1"/>
    <col min="13" max="13" width="11.140625" style="660" customWidth="1"/>
    <col min="14" max="14" width="10.140625" style="660" customWidth="1"/>
    <col min="15" max="15" width="7.28515625" style="664" customWidth="1"/>
    <col min="16" max="17" width="10.7109375" style="666" bestFit="1" customWidth="1"/>
    <col min="18" max="16384" width="9.140625" style="660"/>
  </cols>
  <sheetData>
    <row r="1" spans="1:17" ht="17.25" thickBot="1">
      <c r="A1" s="660" t="s">
        <v>178</v>
      </c>
      <c r="B1" s="661" t="s">
        <v>237</v>
      </c>
      <c r="D1" s="662" t="s">
        <v>179</v>
      </c>
      <c r="E1" s="663" t="s">
        <v>177</v>
      </c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2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9"/>
    </row>
    <row r="4" spans="1:17" ht="12.95" customHeight="1" thickTop="1">
      <c r="A4" s="15" t="s">
        <v>233</v>
      </c>
      <c r="B4" s="16">
        <v>45856</v>
      </c>
      <c r="C4" s="17" t="s">
        <v>238</v>
      </c>
      <c r="D4" s="17">
        <v>1428</v>
      </c>
      <c r="E4" s="18" t="s">
        <v>156</v>
      </c>
      <c r="F4" s="19">
        <v>3300</v>
      </c>
      <c r="G4" s="20" t="s">
        <v>15</v>
      </c>
      <c r="H4" s="21" t="s">
        <v>266</v>
      </c>
      <c r="I4" s="22">
        <v>45856</v>
      </c>
      <c r="J4" s="17">
        <v>20014520</v>
      </c>
      <c r="K4" s="23" t="s">
        <v>229</v>
      </c>
      <c r="L4" s="18" t="s">
        <v>234</v>
      </c>
      <c r="M4" s="18" t="s">
        <v>235</v>
      </c>
      <c r="N4" s="24">
        <v>550</v>
      </c>
      <c r="O4" s="25" t="s">
        <v>15</v>
      </c>
      <c r="P4" s="26"/>
      <c r="Q4" s="27"/>
    </row>
    <row r="5" spans="1:17" ht="12.95" customHeight="1">
      <c r="A5" s="15"/>
      <c r="B5" s="16"/>
      <c r="C5" s="17"/>
      <c r="D5" s="17"/>
      <c r="E5" s="18"/>
      <c r="F5" s="19"/>
      <c r="G5" s="20"/>
      <c r="H5" s="21" t="s">
        <v>265</v>
      </c>
      <c r="I5" s="22">
        <v>45881</v>
      </c>
      <c r="J5" s="17">
        <v>20014635</v>
      </c>
      <c r="K5" s="23" t="s">
        <v>229</v>
      </c>
      <c r="L5" s="18" t="s">
        <v>211</v>
      </c>
      <c r="M5" s="18" t="s">
        <v>267</v>
      </c>
      <c r="N5" s="24">
        <v>550</v>
      </c>
      <c r="O5" s="25" t="s">
        <v>15</v>
      </c>
      <c r="P5" s="26"/>
      <c r="Q5" s="27"/>
    </row>
    <row r="6" spans="1:17" ht="12.95" customHeight="1">
      <c r="A6" s="15"/>
      <c r="B6" s="16"/>
      <c r="C6" s="17"/>
      <c r="D6" s="17"/>
      <c r="E6" s="18"/>
      <c r="F6" s="19"/>
      <c r="G6" s="20"/>
      <c r="H6" s="21" t="s">
        <v>274</v>
      </c>
      <c r="I6" s="22">
        <v>45946</v>
      </c>
      <c r="J6" s="17">
        <v>20014889</v>
      </c>
      <c r="K6" s="23" t="s">
        <v>229</v>
      </c>
      <c r="L6" s="18" t="s">
        <v>234</v>
      </c>
      <c r="M6" s="18" t="s">
        <v>235</v>
      </c>
      <c r="N6" s="24">
        <v>550</v>
      </c>
      <c r="O6" s="25" t="s">
        <v>15</v>
      </c>
      <c r="P6" s="26"/>
      <c r="Q6" s="27"/>
    </row>
    <row r="7" spans="1:17" ht="12.95" customHeight="1">
      <c r="A7" s="15"/>
      <c r="B7" s="16"/>
      <c r="C7" s="17"/>
      <c r="D7" s="17"/>
      <c r="E7" s="18"/>
      <c r="F7" s="19"/>
      <c r="G7" s="20"/>
      <c r="H7" s="21" t="s">
        <v>293</v>
      </c>
      <c r="I7" s="22">
        <v>46029</v>
      </c>
      <c r="J7" s="17">
        <v>20015181</v>
      </c>
      <c r="K7" s="23" t="s">
        <v>229</v>
      </c>
      <c r="L7" s="18" t="s">
        <v>292</v>
      </c>
      <c r="M7" s="18" t="s">
        <v>342</v>
      </c>
      <c r="N7" s="24">
        <v>550</v>
      </c>
      <c r="O7" s="25" t="s">
        <v>15</v>
      </c>
      <c r="P7" s="26"/>
      <c r="Q7" s="27"/>
    </row>
    <row r="8" spans="1:17" ht="12.95" customHeight="1">
      <c r="A8" s="15"/>
      <c r="B8" s="16"/>
      <c r="C8" s="17"/>
      <c r="D8" s="17"/>
      <c r="E8" s="18"/>
      <c r="F8" s="19"/>
      <c r="G8" s="20"/>
      <c r="H8" s="21" t="s">
        <v>302</v>
      </c>
      <c r="I8" s="22">
        <v>46057</v>
      </c>
      <c r="J8" s="17">
        <v>20015280</v>
      </c>
      <c r="K8" s="23" t="s">
        <v>229</v>
      </c>
      <c r="L8" s="18" t="s">
        <v>211</v>
      </c>
      <c r="M8" s="18" t="s">
        <v>267</v>
      </c>
      <c r="N8" s="24">
        <v>550</v>
      </c>
      <c r="O8" s="25" t="s">
        <v>15</v>
      </c>
      <c r="P8" s="26"/>
      <c r="Q8" s="27"/>
    </row>
    <row r="9" spans="1:17" ht="12.95" customHeight="1">
      <c r="A9" s="15"/>
      <c r="B9" s="16"/>
      <c r="C9" s="17"/>
      <c r="D9" s="17"/>
      <c r="E9" s="18"/>
      <c r="F9" s="19"/>
      <c r="G9" s="20"/>
      <c r="H9" s="21" t="s">
        <v>302</v>
      </c>
      <c r="I9" s="22">
        <v>46092</v>
      </c>
      <c r="J9" s="17">
        <v>20015280</v>
      </c>
      <c r="K9" s="23" t="s">
        <v>229</v>
      </c>
      <c r="L9" s="18" t="s">
        <v>211</v>
      </c>
      <c r="M9" s="18" t="s">
        <v>267</v>
      </c>
      <c r="N9" s="24">
        <v>550</v>
      </c>
      <c r="O9" s="25" t="s">
        <v>15</v>
      </c>
      <c r="P9" s="26">
        <f>SUM(N4:N9)</f>
        <v>3300</v>
      </c>
      <c r="Q9" s="27">
        <f>P9-F4</f>
        <v>0</v>
      </c>
    </row>
    <row r="10" spans="1:17" ht="12.95" customHeight="1">
      <c r="A10" s="15" t="s">
        <v>310</v>
      </c>
      <c r="B10" s="16">
        <v>46094</v>
      </c>
      <c r="C10" s="17" t="s">
        <v>238</v>
      </c>
      <c r="D10" s="17">
        <v>1428</v>
      </c>
      <c r="E10" s="18" t="s">
        <v>156</v>
      </c>
      <c r="F10" s="19">
        <v>3000</v>
      </c>
      <c r="G10" s="20" t="s">
        <v>15</v>
      </c>
      <c r="H10" s="21" t="s">
        <v>330</v>
      </c>
      <c r="I10" s="22">
        <v>46133</v>
      </c>
      <c r="J10" s="17">
        <v>20015718</v>
      </c>
      <c r="K10" s="23" t="s">
        <v>229</v>
      </c>
      <c r="L10" s="18" t="s">
        <v>234</v>
      </c>
      <c r="M10" s="18" t="s">
        <v>235</v>
      </c>
      <c r="N10" s="24">
        <v>550</v>
      </c>
      <c r="O10" s="25" t="s">
        <v>15</v>
      </c>
      <c r="P10" s="26">
        <f>+N10+N11+N12+N13</f>
        <v>2200</v>
      </c>
      <c r="Q10" s="27">
        <f>+F10-P10</f>
        <v>800</v>
      </c>
    </row>
    <row r="11" spans="1:17" ht="12.95" customHeight="1">
      <c r="A11" s="990" t="s">
        <v>341</v>
      </c>
      <c r="B11" s="991"/>
      <c r="C11" s="992"/>
      <c r="D11" s="17"/>
      <c r="E11" s="18"/>
      <c r="F11" s="19"/>
      <c r="G11" s="20"/>
      <c r="H11" s="21" t="s">
        <v>415</v>
      </c>
      <c r="I11" s="22">
        <v>46197</v>
      </c>
      <c r="J11" s="17">
        <v>20016179</v>
      </c>
      <c r="K11" s="23" t="s">
        <v>229</v>
      </c>
      <c r="L11" s="18" t="s">
        <v>292</v>
      </c>
      <c r="M11" s="18" t="s">
        <v>342</v>
      </c>
      <c r="N11" s="24">
        <v>550</v>
      </c>
      <c r="O11" s="25" t="s">
        <v>15</v>
      </c>
      <c r="P11" s="26"/>
      <c r="Q11" s="27"/>
    </row>
    <row r="12" spans="1:17" ht="12.95" customHeight="1">
      <c r="A12" s="926"/>
      <c r="B12" s="927"/>
      <c r="C12" s="927"/>
      <c r="D12" s="954"/>
      <c r="E12" s="18"/>
      <c r="F12" s="19"/>
      <c r="G12" s="20"/>
      <c r="H12" s="21" t="s">
        <v>398</v>
      </c>
      <c r="I12" s="22">
        <v>46211</v>
      </c>
      <c r="J12" s="17">
        <v>20016267</v>
      </c>
      <c r="K12" s="23" t="s">
        <v>229</v>
      </c>
      <c r="L12" s="18" t="s">
        <v>211</v>
      </c>
      <c r="M12" s="18" t="s">
        <v>267</v>
      </c>
      <c r="N12" s="24">
        <v>550</v>
      </c>
      <c r="O12" s="25" t="s">
        <v>15</v>
      </c>
      <c r="P12" s="26"/>
      <c r="Q12" s="27"/>
    </row>
    <row r="13" spans="1:17" ht="12.95" customHeight="1">
      <c r="A13" s="926"/>
      <c r="B13" s="927"/>
      <c r="C13" s="927"/>
      <c r="D13" s="954"/>
      <c r="E13" s="18"/>
      <c r="F13" s="19"/>
      <c r="G13" s="20"/>
      <c r="H13" s="21" t="s">
        <v>404</v>
      </c>
      <c r="I13" s="22">
        <v>46225</v>
      </c>
      <c r="J13" s="17">
        <v>20016351</v>
      </c>
      <c r="K13" s="23" t="s">
        <v>229</v>
      </c>
      <c r="L13" s="18" t="s">
        <v>234</v>
      </c>
      <c r="M13" s="18" t="s">
        <v>235</v>
      </c>
      <c r="N13" s="24">
        <v>550</v>
      </c>
      <c r="O13" s="25" t="s">
        <v>15</v>
      </c>
      <c r="P13" s="26"/>
      <c r="Q13" s="27"/>
    </row>
    <row r="14" spans="1:17" ht="12.95" customHeight="1">
      <c r="A14" s="926"/>
      <c r="B14" s="927"/>
      <c r="C14" s="927"/>
      <c r="D14" s="954"/>
      <c r="E14" s="18"/>
      <c r="F14" s="19"/>
      <c r="G14" s="20"/>
      <c r="H14" s="21"/>
      <c r="I14" s="22"/>
      <c r="J14" s="17"/>
      <c r="K14" s="23"/>
      <c r="L14" s="18"/>
      <c r="M14" s="18"/>
      <c r="N14" s="24"/>
      <c r="O14" s="25"/>
      <c r="P14" s="26"/>
      <c r="Q14" s="27"/>
    </row>
    <row r="15" spans="1:17" ht="12.95" customHeight="1">
      <c r="A15" s="15"/>
      <c r="B15" s="16"/>
      <c r="C15" s="17"/>
      <c r="D15" s="17"/>
      <c r="E15" s="18"/>
      <c r="F15" s="19"/>
      <c r="G15" s="20"/>
      <c r="H15" s="21"/>
      <c r="I15" s="22"/>
      <c r="J15" s="17"/>
      <c r="K15" s="23"/>
      <c r="L15" s="18"/>
      <c r="M15" s="18"/>
      <c r="N15" s="24"/>
      <c r="O15" s="25"/>
      <c r="P15" s="26"/>
      <c r="Q15" s="27"/>
    </row>
    <row r="16" spans="1:17" ht="12.95" customHeight="1">
      <c r="A16" s="15" t="s">
        <v>416</v>
      </c>
      <c r="B16" s="16">
        <v>46199</v>
      </c>
      <c r="C16" s="17" t="s">
        <v>238</v>
      </c>
      <c r="D16" s="17">
        <v>1428</v>
      </c>
      <c r="E16" s="18" t="s">
        <v>156</v>
      </c>
      <c r="F16" s="19">
        <v>3000</v>
      </c>
      <c r="G16" s="20" t="s">
        <v>15</v>
      </c>
      <c r="H16" s="21"/>
      <c r="I16" s="22"/>
      <c r="J16" s="17"/>
      <c r="K16" s="23"/>
      <c r="L16" s="18"/>
      <c r="M16" s="18"/>
      <c r="N16" s="24"/>
      <c r="O16" s="25"/>
      <c r="P16" s="26"/>
      <c r="Q16" s="27"/>
    </row>
    <row r="17" spans="1:17" ht="12.95" customHeight="1">
      <c r="A17" s="966" t="s">
        <v>394</v>
      </c>
      <c r="B17" s="16"/>
      <c r="C17" s="17"/>
      <c r="D17" s="924"/>
      <c r="E17" s="18"/>
      <c r="F17" s="19"/>
      <c r="G17" s="20"/>
      <c r="H17" s="21"/>
      <c r="I17" s="22"/>
      <c r="J17" s="17"/>
      <c r="K17" s="23"/>
      <c r="L17" s="18"/>
      <c r="M17" s="18"/>
      <c r="N17" s="24"/>
      <c r="O17" s="25"/>
      <c r="P17" s="26"/>
      <c r="Q17" s="27"/>
    </row>
    <row r="18" spans="1:17" ht="12.95" customHeight="1">
      <c r="A18" s="15"/>
      <c r="B18" s="16"/>
      <c r="C18" s="948"/>
      <c r="D18" s="924"/>
      <c r="E18" s="18"/>
      <c r="F18" s="19"/>
      <c r="G18" s="20"/>
      <c r="H18" s="21"/>
      <c r="I18" s="22"/>
      <c r="J18" s="17"/>
      <c r="K18" s="23"/>
      <c r="L18" s="18"/>
      <c r="M18" s="18"/>
      <c r="N18" s="24"/>
      <c r="O18" s="25"/>
      <c r="P18" s="26"/>
      <c r="Q18" s="27"/>
    </row>
    <row r="19" spans="1:17" ht="12.95" customHeight="1">
      <c r="A19" s="955"/>
      <c r="B19" s="948"/>
      <c r="C19" s="948"/>
      <c r="D19" s="924"/>
      <c r="E19" s="18"/>
      <c r="F19" s="19"/>
      <c r="G19" s="20"/>
      <c r="H19" s="21"/>
      <c r="I19" s="22"/>
      <c r="J19" s="17"/>
      <c r="K19" s="23"/>
      <c r="L19" s="18"/>
      <c r="M19" s="18"/>
      <c r="N19" s="24"/>
      <c r="O19" s="25"/>
      <c r="P19" s="26"/>
      <c r="Q19" s="27"/>
    </row>
    <row r="20" spans="1:17" ht="12.95" customHeight="1" thickBot="1">
      <c r="A20" s="956"/>
      <c r="B20" s="957"/>
      <c r="C20" s="957"/>
      <c r="D20" s="925"/>
      <c r="E20" s="31"/>
      <c r="F20" s="32"/>
      <c r="G20" s="33"/>
      <c r="H20" s="965"/>
      <c r="I20" s="958"/>
      <c r="J20" s="947"/>
      <c r="K20" s="959"/>
      <c r="L20" s="960"/>
      <c r="M20" s="960"/>
      <c r="N20" s="961"/>
      <c r="O20" s="962"/>
      <c r="P20" s="963"/>
      <c r="Q20" s="964"/>
    </row>
    <row r="21" spans="1:17" ht="12.95" customHeight="1" thickTop="1" thickBot="1">
      <c r="A21" s="39"/>
      <c r="B21" s="40"/>
      <c r="C21" s="41"/>
      <c r="D21" s="41"/>
      <c r="E21" s="42"/>
      <c r="F21" s="43">
        <f>SUM(F4:F20)</f>
        <v>9300</v>
      </c>
      <c r="G21" s="44" t="s">
        <v>15</v>
      </c>
      <c r="H21" s="670"/>
      <c r="I21" s="41"/>
      <c r="J21" s="41"/>
      <c r="K21" s="671"/>
      <c r="L21" s="42"/>
      <c r="M21" s="42"/>
      <c r="N21" s="43">
        <f>SUM(N4:N20)</f>
        <v>5500</v>
      </c>
      <c r="O21" s="49" t="s">
        <v>15</v>
      </c>
      <c r="P21" s="672">
        <f>+F21-N21</f>
        <v>3800</v>
      </c>
      <c r="Q21" s="673">
        <f>SUM(Q4:Q20)</f>
        <v>800</v>
      </c>
    </row>
    <row r="23" spans="1:17" ht="25.5">
      <c r="B23" s="942" t="s">
        <v>410</v>
      </c>
      <c r="C23" s="931">
        <v>3800</v>
      </c>
      <c r="D23" s="932" t="s">
        <v>412</v>
      </c>
    </row>
    <row r="24" spans="1:17" ht="25.5">
      <c r="B24" s="943" t="s">
        <v>411</v>
      </c>
      <c r="C24" s="933">
        <v>3800</v>
      </c>
      <c r="D24" s="932" t="s">
        <v>412</v>
      </c>
    </row>
    <row r="25" spans="1:17" ht="25.5">
      <c r="B25" s="944" t="s">
        <v>413</v>
      </c>
      <c r="C25" s="941">
        <f>+C23-C24</f>
        <v>0</v>
      </c>
      <c r="D25" s="932" t="s">
        <v>412</v>
      </c>
    </row>
  </sheetData>
  <mergeCells count="3">
    <mergeCell ref="A3:G3"/>
    <mergeCell ref="H3:Q3"/>
    <mergeCell ref="A11:C11"/>
  </mergeCells>
  <phoneticPr fontId="13" type="noConversion"/>
  <pageMargins left="0.25" right="0.25" top="0.75" bottom="0.75" header="0.3" footer="0.3"/>
  <pageSetup paperSize="9" scale="73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5D21-0802-4964-ABF3-4EC6821D8ECC}">
  <sheetPr>
    <pageSetUpPr fitToPage="1"/>
  </sheetPr>
  <dimension ref="A1:Q106"/>
  <sheetViews>
    <sheetView zoomScale="80" zoomScaleNormal="80" workbookViewId="0">
      <pane xSplit="7" ySplit="3" topLeftCell="H90" activePane="bottomRight" state="frozen"/>
      <selection pane="topRight" activeCell="H1" sqref="H1"/>
      <selection pane="bottomLeft" activeCell="A5" sqref="A5"/>
      <selection pane="bottomRight" activeCell="D105" sqref="D105"/>
    </sheetView>
  </sheetViews>
  <sheetFormatPr defaultColWidth="9.140625" defaultRowHeight="16.5"/>
  <cols>
    <col min="1" max="1" width="13.5703125" style="1" customWidth="1"/>
    <col min="2" max="2" width="23.28515625" style="50" customWidth="1"/>
    <col min="3" max="3" width="11" style="1" customWidth="1"/>
    <col min="4" max="4" width="13.140625" style="5" customWidth="1"/>
    <col min="5" max="5" width="9.140625" style="1"/>
    <col min="6" max="6" width="8.7109375" style="1" customWidth="1"/>
    <col min="7" max="7" width="7.28515625" style="5" customWidth="1"/>
    <col min="8" max="8" width="12.5703125" style="1" customWidth="1"/>
    <col min="9" max="9" width="12.42578125" style="5" customWidth="1"/>
    <col min="10" max="10" width="10.85546875" style="5" customWidth="1"/>
    <col min="11" max="11" width="14" style="1" customWidth="1"/>
    <col min="12" max="12" width="16.7109375" style="1" customWidth="1"/>
    <col min="13" max="13" width="11.140625" style="1" customWidth="1"/>
    <col min="14" max="14" width="10.140625" style="1" customWidth="1"/>
    <col min="15" max="15" width="7.28515625" style="5" customWidth="1"/>
    <col min="16" max="17" width="10.7109375" style="7" bestFit="1" customWidth="1"/>
    <col min="18" max="16384" width="9.140625" style="1"/>
  </cols>
  <sheetData>
    <row r="1" spans="1:17" ht="17.25" thickBot="1">
      <c r="A1" s="1" t="s">
        <v>178</v>
      </c>
      <c r="B1" s="2" t="s">
        <v>17</v>
      </c>
      <c r="D1" s="3" t="s">
        <v>179</v>
      </c>
      <c r="E1" s="4" t="s">
        <v>180</v>
      </c>
      <c r="K1" s="6"/>
    </row>
    <row r="2" spans="1:17" s="14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51" t="s">
        <v>7</v>
      </c>
      <c r="H2" s="8" t="s">
        <v>1</v>
      </c>
      <c r="I2" s="10" t="s">
        <v>8</v>
      </c>
      <c r="J2" s="10" t="s">
        <v>9</v>
      </c>
      <c r="K2" s="10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11" t="s">
        <v>167</v>
      </c>
      <c r="Q2" s="11" t="s">
        <v>168</v>
      </c>
    </row>
    <row r="3" spans="1:17" s="14" customFormat="1" ht="10.5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93" t="s">
        <v>11</v>
      </c>
      <c r="I3" s="994"/>
      <c r="J3" s="994"/>
      <c r="K3" s="994"/>
      <c r="L3" s="994"/>
      <c r="M3" s="994"/>
      <c r="N3" s="994"/>
      <c r="O3" s="994"/>
      <c r="P3" s="994"/>
      <c r="Q3" s="995"/>
    </row>
    <row r="4" spans="1:17" ht="18" hidden="1" thickTop="1" thickBot="1">
      <c r="A4" s="52" t="s">
        <v>12</v>
      </c>
      <c r="B4" s="53">
        <v>44602</v>
      </c>
      <c r="C4" s="54" t="s">
        <v>13</v>
      </c>
      <c r="D4" s="54">
        <v>2249</v>
      </c>
      <c r="E4" s="55" t="s">
        <v>14</v>
      </c>
      <c r="F4" s="56">
        <v>10000</v>
      </c>
      <c r="G4" s="57" t="s">
        <v>15</v>
      </c>
      <c r="H4" s="58" t="s">
        <v>16</v>
      </c>
      <c r="I4" s="59">
        <v>44579</v>
      </c>
      <c r="J4" s="60">
        <v>20008045</v>
      </c>
      <c r="K4" s="61" t="s">
        <v>17</v>
      </c>
      <c r="L4" s="61" t="s">
        <v>18</v>
      </c>
      <c r="M4" s="61" t="s">
        <v>19</v>
      </c>
      <c r="N4" s="61">
        <v>602</v>
      </c>
      <c r="O4" s="62" t="s">
        <v>15</v>
      </c>
      <c r="P4" s="63"/>
      <c r="Q4" s="64"/>
    </row>
    <row r="5" spans="1:17" ht="18" hidden="1" thickTop="1" thickBot="1">
      <c r="A5" s="65"/>
      <c r="B5" s="66"/>
      <c r="C5" s="67"/>
      <c r="D5" s="68"/>
      <c r="E5" s="67"/>
      <c r="F5" s="67"/>
      <c r="G5" s="69"/>
      <c r="H5" s="70" t="s">
        <v>20</v>
      </c>
      <c r="I5" s="71">
        <v>44600</v>
      </c>
      <c r="J5" s="72">
        <v>20008194</v>
      </c>
      <c r="K5" s="73" t="s">
        <v>17</v>
      </c>
      <c r="L5" s="73" t="s">
        <v>21</v>
      </c>
      <c r="M5" s="73" t="s">
        <v>22</v>
      </c>
      <c r="N5" s="73">
        <v>602</v>
      </c>
      <c r="O5" s="74" t="s">
        <v>15</v>
      </c>
      <c r="P5" s="75"/>
      <c r="Q5" s="76"/>
    </row>
    <row r="6" spans="1:17" ht="18" hidden="1" thickTop="1" thickBot="1">
      <c r="A6" s="65"/>
      <c r="B6" s="66"/>
      <c r="C6" s="67"/>
      <c r="D6" s="68"/>
      <c r="E6" s="67"/>
      <c r="F6" s="67"/>
      <c r="G6" s="69"/>
      <c r="H6" s="70" t="s">
        <v>23</v>
      </c>
      <c r="I6" s="71">
        <v>44615</v>
      </c>
      <c r="J6" s="72">
        <v>20008319</v>
      </c>
      <c r="K6" s="73" t="s">
        <v>17</v>
      </c>
      <c r="L6" s="73" t="s">
        <v>21</v>
      </c>
      <c r="M6" s="73" t="s">
        <v>22</v>
      </c>
      <c r="N6" s="73">
        <v>602</v>
      </c>
      <c r="O6" s="74" t="s">
        <v>15</v>
      </c>
      <c r="P6" s="75"/>
      <c r="Q6" s="76"/>
    </row>
    <row r="7" spans="1:17" ht="18" hidden="1" thickTop="1" thickBot="1">
      <c r="A7" s="65"/>
      <c r="B7" s="66"/>
      <c r="C7" s="67"/>
      <c r="D7" s="68"/>
      <c r="E7" s="67"/>
      <c r="F7" s="67"/>
      <c r="G7" s="69"/>
      <c r="H7" s="70" t="s">
        <v>23</v>
      </c>
      <c r="I7" s="71">
        <v>44615</v>
      </c>
      <c r="J7" s="72">
        <v>20008319</v>
      </c>
      <c r="K7" s="73" t="s">
        <v>17</v>
      </c>
      <c r="L7" s="73" t="s">
        <v>24</v>
      </c>
      <c r="M7" s="73" t="s">
        <v>25</v>
      </c>
      <c r="N7" s="73">
        <v>602</v>
      </c>
      <c r="O7" s="74" t="s">
        <v>15</v>
      </c>
      <c r="P7" s="75"/>
      <c r="Q7" s="76"/>
    </row>
    <row r="8" spans="1:17" ht="18" hidden="1" thickTop="1" thickBot="1">
      <c r="A8" s="65"/>
      <c r="B8" s="66"/>
      <c r="C8" s="67"/>
      <c r="D8" s="68"/>
      <c r="E8" s="67"/>
      <c r="F8" s="77"/>
      <c r="G8" s="69"/>
      <c r="H8" s="70" t="s">
        <v>26</v>
      </c>
      <c r="I8" s="71">
        <v>44640</v>
      </c>
      <c r="J8" s="72">
        <v>20008532</v>
      </c>
      <c r="K8" s="73" t="s">
        <v>17</v>
      </c>
      <c r="L8" s="73" t="s">
        <v>21</v>
      </c>
      <c r="M8" s="73" t="s">
        <v>22</v>
      </c>
      <c r="N8" s="73">
        <v>602</v>
      </c>
      <c r="O8" s="74" t="s">
        <v>15</v>
      </c>
      <c r="P8" s="75"/>
      <c r="Q8" s="76"/>
    </row>
    <row r="9" spans="1:17" ht="18" hidden="1" thickTop="1" thickBot="1">
      <c r="A9" s="65"/>
      <c r="B9" s="66"/>
      <c r="C9" s="67"/>
      <c r="D9" s="68"/>
      <c r="E9" s="67"/>
      <c r="F9" s="77"/>
      <c r="G9" s="69"/>
      <c r="H9" s="70" t="s">
        <v>26</v>
      </c>
      <c r="I9" s="71">
        <v>44640</v>
      </c>
      <c r="J9" s="72">
        <v>20008532</v>
      </c>
      <c r="K9" s="73" t="s">
        <v>17</v>
      </c>
      <c r="L9" s="73" t="s">
        <v>27</v>
      </c>
      <c r="M9" s="73" t="s">
        <v>28</v>
      </c>
      <c r="N9" s="73">
        <v>602</v>
      </c>
      <c r="O9" s="74" t="s">
        <v>15</v>
      </c>
      <c r="P9" s="75"/>
      <c r="Q9" s="76"/>
    </row>
    <row r="10" spans="1:17" ht="18" hidden="1" thickTop="1" thickBot="1">
      <c r="A10" s="65"/>
      <c r="B10" s="66"/>
      <c r="C10" s="67"/>
      <c r="D10" s="68"/>
      <c r="E10" s="67"/>
      <c r="F10" s="77"/>
      <c r="G10" s="69"/>
      <c r="H10" s="70" t="s">
        <v>29</v>
      </c>
      <c r="I10" s="71">
        <v>44649</v>
      </c>
      <c r="J10" s="72">
        <v>20008649</v>
      </c>
      <c r="K10" s="73" t="s">
        <v>17</v>
      </c>
      <c r="L10" s="73" t="s">
        <v>30</v>
      </c>
      <c r="M10" s="73" t="s">
        <v>31</v>
      </c>
      <c r="N10" s="73">
        <v>602</v>
      </c>
      <c r="O10" s="74" t="s">
        <v>15</v>
      </c>
      <c r="P10" s="75"/>
      <c r="Q10" s="76"/>
    </row>
    <row r="11" spans="1:17" ht="18" hidden="1" thickTop="1" thickBot="1">
      <c r="A11" s="65"/>
      <c r="B11" s="66"/>
      <c r="C11" s="67"/>
      <c r="D11" s="68"/>
      <c r="E11" s="67"/>
      <c r="F11" s="77"/>
      <c r="G11" s="69"/>
      <c r="H11" s="70" t="s">
        <v>32</v>
      </c>
      <c r="I11" s="71">
        <v>44649</v>
      </c>
      <c r="J11" s="72" t="s">
        <v>33</v>
      </c>
      <c r="K11" s="73" t="s">
        <v>17</v>
      </c>
      <c r="L11" s="73" t="s">
        <v>34</v>
      </c>
      <c r="M11" s="73" t="s">
        <v>35</v>
      </c>
      <c r="N11" s="73">
        <v>602</v>
      </c>
      <c r="O11" s="74" t="s">
        <v>15</v>
      </c>
      <c r="P11" s="75"/>
      <c r="Q11" s="76"/>
    </row>
    <row r="12" spans="1:17" ht="18" hidden="1" thickTop="1" thickBot="1">
      <c r="A12" s="65"/>
      <c r="B12" s="66"/>
      <c r="C12" s="67"/>
      <c r="D12" s="68"/>
      <c r="E12" s="67"/>
      <c r="F12" s="77"/>
      <c r="G12" s="69"/>
      <c r="H12" s="70" t="s">
        <v>36</v>
      </c>
      <c r="I12" s="71">
        <v>44670</v>
      </c>
      <c r="J12" s="72">
        <v>20008728</v>
      </c>
      <c r="K12" s="73" t="s">
        <v>17</v>
      </c>
      <c r="L12" s="73" t="s">
        <v>37</v>
      </c>
      <c r="M12" s="73" t="s">
        <v>38</v>
      </c>
      <c r="N12" s="73">
        <v>602</v>
      </c>
      <c r="O12" s="74" t="s">
        <v>15</v>
      </c>
      <c r="P12" s="75"/>
      <c r="Q12" s="76"/>
    </row>
    <row r="13" spans="1:17" ht="18" hidden="1" thickTop="1" thickBot="1">
      <c r="A13" s="65"/>
      <c r="B13" s="66"/>
      <c r="C13" s="67"/>
      <c r="D13" s="68"/>
      <c r="E13" s="67"/>
      <c r="F13" s="77"/>
      <c r="G13" s="69"/>
      <c r="H13" s="70" t="s">
        <v>39</v>
      </c>
      <c r="I13" s="71">
        <v>44670</v>
      </c>
      <c r="J13" s="72" t="s">
        <v>40</v>
      </c>
      <c r="K13" s="73" t="s">
        <v>17</v>
      </c>
      <c r="L13" s="73" t="s">
        <v>21</v>
      </c>
      <c r="M13" s="73" t="s">
        <v>22</v>
      </c>
      <c r="N13" s="73">
        <v>602</v>
      </c>
      <c r="O13" s="74" t="s">
        <v>15</v>
      </c>
      <c r="P13" s="75"/>
      <c r="Q13" s="76"/>
    </row>
    <row r="14" spans="1:17" ht="18" hidden="1" thickTop="1" thickBot="1">
      <c r="A14" s="65"/>
      <c r="B14" s="66"/>
      <c r="C14" s="67"/>
      <c r="D14" s="68"/>
      <c r="E14" s="67"/>
      <c r="F14" s="77"/>
      <c r="G14" s="69"/>
      <c r="H14" s="70" t="s">
        <v>41</v>
      </c>
      <c r="I14" s="71">
        <v>44698</v>
      </c>
      <c r="J14" s="72">
        <v>20008861</v>
      </c>
      <c r="K14" s="73" t="s">
        <v>17</v>
      </c>
      <c r="L14" s="73" t="s">
        <v>37</v>
      </c>
      <c r="M14" s="73" t="s">
        <v>38</v>
      </c>
      <c r="N14" s="73">
        <v>602</v>
      </c>
      <c r="O14" s="74" t="s">
        <v>15</v>
      </c>
      <c r="P14" s="75"/>
      <c r="Q14" s="76"/>
    </row>
    <row r="15" spans="1:17" ht="18" hidden="1" thickTop="1" thickBot="1">
      <c r="A15" s="65"/>
      <c r="B15" s="66"/>
      <c r="C15" s="67"/>
      <c r="D15" s="68"/>
      <c r="E15" s="67"/>
      <c r="F15" s="77"/>
      <c r="G15" s="69"/>
      <c r="H15" s="70" t="s">
        <v>41</v>
      </c>
      <c r="I15" s="71">
        <v>44698</v>
      </c>
      <c r="J15" s="72">
        <v>20008861</v>
      </c>
      <c r="K15" s="73" t="s">
        <v>17</v>
      </c>
      <c r="L15" s="73" t="s">
        <v>42</v>
      </c>
      <c r="M15" s="73" t="s">
        <v>43</v>
      </c>
      <c r="N15" s="73">
        <v>602</v>
      </c>
      <c r="O15" s="74" t="s">
        <v>15</v>
      </c>
      <c r="P15" s="75"/>
      <c r="Q15" s="76"/>
    </row>
    <row r="16" spans="1:17" ht="18" hidden="1" thickTop="1" thickBot="1">
      <c r="A16" s="65"/>
      <c r="B16" s="78"/>
      <c r="C16" s="67"/>
      <c r="D16" s="68"/>
      <c r="E16" s="67"/>
      <c r="F16" s="79"/>
      <c r="G16" s="69"/>
      <c r="H16" s="70" t="s">
        <v>44</v>
      </c>
      <c r="I16" s="71">
        <v>44717</v>
      </c>
      <c r="J16" s="72">
        <v>20008939</v>
      </c>
      <c r="K16" s="73" t="s">
        <v>17</v>
      </c>
      <c r="L16" s="73" t="s">
        <v>21</v>
      </c>
      <c r="M16" s="73" t="s">
        <v>22</v>
      </c>
      <c r="N16" s="73">
        <v>602</v>
      </c>
      <c r="O16" s="74" t="s">
        <v>15</v>
      </c>
      <c r="P16" s="75"/>
      <c r="Q16" s="76"/>
    </row>
    <row r="17" spans="1:17" ht="18" hidden="1" thickTop="1" thickBot="1">
      <c r="A17" s="80"/>
      <c r="B17" s="66"/>
      <c r="C17" s="67"/>
      <c r="D17" s="68"/>
      <c r="E17" s="67"/>
      <c r="F17" s="77"/>
      <c r="G17" s="69"/>
      <c r="H17" s="70" t="s">
        <v>45</v>
      </c>
      <c r="I17" s="71">
        <v>44740</v>
      </c>
      <c r="J17" s="72">
        <v>20009129</v>
      </c>
      <c r="K17" s="73" t="s">
        <v>17</v>
      </c>
      <c r="L17" s="73" t="s">
        <v>37</v>
      </c>
      <c r="M17" s="73" t="s">
        <v>38</v>
      </c>
      <c r="N17" s="73">
        <v>602</v>
      </c>
      <c r="O17" s="74" t="s">
        <v>15</v>
      </c>
      <c r="P17" s="75"/>
      <c r="Q17" s="76"/>
    </row>
    <row r="18" spans="1:17" ht="18" hidden="1" thickTop="1" thickBot="1">
      <c r="A18" s="80"/>
      <c r="B18" s="66"/>
      <c r="C18" s="67"/>
      <c r="D18" s="68"/>
      <c r="E18" s="67"/>
      <c r="F18" s="77"/>
      <c r="G18" s="69"/>
      <c r="H18" s="70" t="s">
        <v>45</v>
      </c>
      <c r="I18" s="71">
        <v>44740</v>
      </c>
      <c r="J18" s="72">
        <v>20009129</v>
      </c>
      <c r="K18" s="73" t="s">
        <v>17</v>
      </c>
      <c r="L18" s="73" t="s">
        <v>30</v>
      </c>
      <c r="M18" s="73" t="s">
        <v>31</v>
      </c>
      <c r="N18" s="73">
        <v>602</v>
      </c>
      <c r="O18" s="74" t="s">
        <v>15</v>
      </c>
      <c r="P18" s="75"/>
      <c r="Q18" s="76"/>
    </row>
    <row r="19" spans="1:17" ht="18" hidden="1" thickTop="1" thickBot="1">
      <c r="A19" s="81"/>
      <c r="B19" s="82"/>
      <c r="C19" s="83"/>
      <c r="D19" s="83"/>
      <c r="E19" s="83"/>
      <c r="F19" s="84"/>
      <c r="G19" s="85"/>
      <c r="H19" s="70" t="s">
        <v>46</v>
      </c>
      <c r="I19" s="71">
        <v>44775</v>
      </c>
      <c r="J19" s="72">
        <v>20009285</v>
      </c>
      <c r="K19" s="73" t="s">
        <v>17</v>
      </c>
      <c r="L19" s="73" t="s">
        <v>24</v>
      </c>
      <c r="M19" s="73" t="s">
        <v>25</v>
      </c>
      <c r="N19" s="73">
        <v>602</v>
      </c>
      <c r="O19" s="74" t="s">
        <v>15</v>
      </c>
      <c r="P19" s="75"/>
      <c r="Q19" s="76"/>
    </row>
    <row r="20" spans="1:17" ht="18" hidden="1" thickTop="1" thickBot="1">
      <c r="A20" s="81"/>
      <c r="B20" s="82"/>
      <c r="C20" s="83"/>
      <c r="D20" s="83"/>
      <c r="E20" s="83"/>
      <c r="F20" s="84"/>
      <c r="G20" s="85"/>
      <c r="H20" s="70" t="s">
        <v>46</v>
      </c>
      <c r="I20" s="71">
        <v>44775</v>
      </c>
      <c r="J20" s="72">
        <v>20009285</v>
      </c>
      <c r="K20" s="73" t="s">
        <v>17</v>
      </c>
      <c r="L20" s="73" t="s">
        <v>47</v>
      </c>
      <c r="M20" s="73" t="s">
        <v>38</v>
      </c>
      <c r="N20" s="73">
        <v>602</v>
      </c>
      <c r="O20" s="74" t="s">
        <v>15</v>
      </c>
      <c r="P20" s="75">
        <f>SUM(N4:N20)</f>
        <v>10234</v>
      </c>
      <c r="Q20" s="76">
        <f>SUM(O4:O20)</f>
        <v>0</v>
      </c>
    </row>
    <row r="21" spans="1:17" ht="18" hidden="1" thickTop="1" thickBot="1">
      <c r="A21" s="86" t="s">
        <v>48</v>
      </c>
      <c r="B21" s="87">
        <v>44700</v>
      </c>
      <c r="C21" s="88" t="s">
        <v>13</v>
      </c>
      <c r="D21" s="89">
        <v>2249</v>
      </c>
      <c r="E21" s="88" t="s">
        <v>14</v>
      </c>
      <c r="F21" s="90">
        <v>10000</v>
      </c>
      <c r="G21" s="91" t="s">
        <v>15</v>
      </c>
      <c r="H21" s="92" t="s">
        <v>46</v>
      </c>
      <c r="I21" s="93">
        <v>44775</v>
      </c>
      <c r="J21" s="94">
        <v>20009285</v>
      </c>
      <c r="K21" s="95" t="s">
        <v>17</v>
      </c>
      <c r="L21" s="95" t="s">
        <v>18</v>
      </c>
      <c r="M21" s="95" t="s">
        <v>19</v>
      </c>
      <c r="N21" s="95">
        <v>602</v>
      </c>
      <c r="O21" s="96" t="s">
        <v>15</v>
      </c>
      <c r="P21" s="97"/>
      <c r="Q21" s="98"/>
    </row>
    <row r="22" spans="1:17" ht="18" hidden="1" thickTop="1" thickBot="1">
      <c r="A22" s="99"/>
      <c r="B22" s="100"/>
      <c r="C22" s="101"/>
      <c r="D22" s="101"/>
      <c r="E22" s="101"/>
      <c r="F22" s="102"/>
      <c r="G22" s="103"/>
      <c r="H22" s="92" t="s">
        <v>46</v>
      </c>
      <c r="I22" s="93">
        <v>44775</v>
      </c>
      <c r="J22" s="94">
        <v>20009285</v>
      </c>
      <c r="K22" s="95" t="s">
        <v>17</v>
      </c>
      <c r="L22" s="95" t="s">
        <v>30</v>
      </c>
      <c r="M22" s="95" t="s">
        <v>31</v>
      </c>
      <c r="N22" s="95">
        <v>602</v>
      </c>
      <c r="O22" s="96" t="s">
        <v>15</v>
      </c>
      <c r="P22" s="97"/>
      <c r="Q22" s="98"/>
    </row>
    <row r="23" spans="1:17" ht="18" hidden="1" thickTop="1" thickBot="1">
      <c r="A23" s="99"/>
      <c r="B23" s="100"/>
      <c r="C23" s="101"/>
      <c r="D23" s="101"/>
      <c r="E23" s="101"/>
      <c r="F23" s="102"/>
      <c r="G23" s="103"/>
      <c r="H23" s="92" t="s">
        <v>49</v>
      </c>
      <c r="I23" s="93">
        <v>44817</v>
      </c>
      <c r="J23" s="94">
        <v>20009487</v>
      </c>
      <c r="K23" s="95" t="s">
        <v>17</v>
      </c>
      <c r="L23" s="95" t="s">
        <v>37</v>
      </c>
      <c r="M23" s="95" t="s">
        <v>38</v>
      </c>
      <c r="N23" s="95">
        <v>602</v>
      </c>
      <c r="O23" s="96" t="s">
        <v>15</v>
      </c>
      <c r="P23" s="97"/>
      <c r="Q23" s="98"/>
    </row>
    <row r="24" spans="1:17" ht="18" hidden="1" thickTop="1" thickBot="1">
      <c r="A24" s="99"/>
      <c r="B24" s="100"/>
      <c r="C24" s="101"/>
      <c r="D24" s="101"/>
      <c r="E24" s="101"/>
      <c r="F24" s="102"/>
      <c r="G24" s="103"/>
      <c r="H24" s="92" t="s">
        <v>50</v>
      </c>
      <c r="I24" s="93">
        <v>44832</v>
      </c>
      <c r="J24" s="94">
        <v>20009574</v>
      </c>
      <c r="K24" s="95" t="s">
        <v>17</v>
      </c>
      <c r="L24" s="95" t="s">
        <v>21</v>
      </c>
      <c r="M24" s="95" t="s">
        <v>22</v>
      </c>
      <c r="N24" s="95">
        <v>602</v>
      </c>
      <c r="O24" s="96" t="s">
        <v>15</v>
      </c>
      <c r="P24" s="97"/>
      <c r="Q24" s="98"/>
    </row>
    <row r="25" spans="1:17" ht="18" hidden="1" thickTop="1" thickBot="1">
      <c r="A25" s="99"/>
      <c r="B25" s="100"/>
      <c r="C25" s="101"/>
      <c r="D25" s="101"/>
      <c r="E25" s="101"/>
      <c r="F25" s="102"/>
      <c r="G25" s="103"/>
      <c r="H25" s="92" t="s">
        <v>50</v>
      </c>
      <c r="I25" s="93">
        <v>44832</v>
      </c>
      <c r="J25" s="94">
        <v>20009574</v>
      </c>
      <c r="K25" s="95" t="s">
        <v>17</v>
      </c>
      <c r="L25" s="95" t="s">
        <v>30</v>
      </c>
      <c r="M25" s="95" t="s">
        <v>31</v>
      </c>
      <c r="N25" s="95">
        <v>602</v>
      </c>
      <c r="O25" s="96" t="s">
        <v>15</v>
      </c>
      <c r="P25" s="97"/>
      <c r="Q25" s="98"/>
    </row>
    <row r="26" spans="1:17" ht="18" hidden="1" thickTop="1" thickBot="1">
      <c r="A26" s="99"/>
      <c r="B26" s="100"/>
      <c r="C26" s="101"/>
      <c r="D26" s="101"/>
      <c r="E26" s="101"/>
      <c r="F26" s="102"/>
      <c r="G26" s="103"/>
      <c r="H26" s="92" t="s">
        <v>51</v>
      </c>
      <c r="I26" s="93">
        <v>44880</v>
      </c>
      <c r="J26" s="94">
        <v>20009763</v>
      </c>
      <c r="K26" s="95" t="s">
        <v>17</v>
      </c>
      <c r="L26" s="95" t="s">
        <v>37</v>
      </c>
      <c r="M26" s="95" t="s">
        <v>38</v>
      </c>
      <c r="N26" s="95">
        <v>602</v>
      </c>
      <c r="O26" s="96" t="s">
        <v>15</v>
      </c>
      <c r="P26" s="97"/>
      <c r="Q26" s="98"/>
    </row>
    <row r="27" spans="1:17" ht="18" hidden="1" thickTop="1" thickBot="1">
      <c r="A27" s="99"/>
      <c r="B27" s="100"/>
      <c r="C27" s="101"/>
      <c r="D27" s="101"/>
      <c r="E27" s="101"/>
      <c r="F27" s="102"/>
      <c r="G27" s="103"/>
      <c r="H27" s="104" t="s">
        <v>52</v>
      </c>
      <c r="I27" s="105">
        <v>44901</v>
      </c>
      <c r="J27" s="106">
        <v>20009854</v>
      </c>
      <c r="K27" s="95" t="s">
        <v>17</v>
      </c>
      <c r="L27" s="107" t="s">
        <v>21</v>
      </c>
      <c r="M27" s="107" t="s">
        <v>22</v>
      </c>
      <c r="N27" s="107">
        <v>602</v>
      </c>
      <c r="O27" s="108" t="s">
        <v>15</v>
      </c>
      <c r="P27" s="97"/>
      <c r="Q27" s="98"/>
    </row>
    <row r="28" spans="1:17" ht="18" hidden="1" thickTop="1" thickBot="1">
      <c r="A28" s="99"/>
      <c r="B28" s="100"/>
      <c r="C28" s="101"/>
      <c r="D28" s="101"/>
      <c r="E28" s="101"/>
      <c r="F28" s="102"/>
      <c r="G28" s="103"/>
      <c r="H28" s="104" t="s">
        <v>53</v>
      </c>
      <c r="I28" s="105">
        <v>44944</v>
      </c>
      <c r="J28" s="106">
        <v>20010046</v>
      </c>
      <c r="K28" s="95" t="s">
        <v>17</v>
      </c>
      <c r="L28" s="107" t="s">
        <v>21</v>
      </c>
      <c r="M28" s="107" t="s">
        <v>22</v>
      </c>
      <c r="N28" s="107">
        <v>602</v>
      </c>
      <c r="O28" s="108" t="s">
        <v>15</v>
      </c>
      <c r="P28" s="97"/>
      <c r="Q28" s="98"/>
    </row>
    <row r="29" spans="1:17" ht="18" hidden="1" thickTop="1" thickBot="1">
      <c r="A29" s="99"/>
      <c r="B29" s="100"/>
      <c r="C29" s="101"/>
      <c r="D29" s="101"/>
      <c r="E29" s="101"/>
      <c r="F29" s="102"/>
      <c r="G29" s="103"/>
      <c r="H29" s="104" t="s">
        <v>54</v>
      </c>
      <c r="I29" s="105">
        <v>44950</v>
      </c>
      <c r="J29" s="106">
        <v>20010082</v>
      </c>
      <c r="K29" s="95" t="s">
        <v>17</v>
      </c>
      <c r="L29" s="107" t="s">
        <v>37</v>
      </c>
      <c r="M29" s="107" t="s">
        <v>38</v>
      </c>
      <c r="N29" s="107">
        <v>402</v>
      </c>
      <c r="O29" s="108" t="s">
        <v>15</v>
      </c>
      <c r="P29" s="97"/>
      <c r="Q29" s="98"/>
    </row>
    <row r="30" spans="1:17" ht="18" hidden="1" thickTop="1" thickBot="1">
      <c r="A30" s="99"/>
      <c r="B30" s="100"/>
      <c r="C30" s="101"/>
      <c r="D30" s="101"/>
      <c r="E30" s="101"/>
      <c r="F30" s="102"/>
      <c r="G30" s="103"/>
      <c r="H30" s="104" t="s">
        <v>55</v>
      </c>
      <c r="I30" s="105">
        <v>44950</v>
      </c>
      <c r="J30" s="106" t="s">
        <v>56</v>
      </c>
      <c r="K30" s="95" t="s">
        <v>17</v>
      </c>
      <c r="L30" s="107" t="s">
        <v>37</v>
      </c>
      <c r="M30" s="107" t="s">
        <v>38</v>
      </c>
      <c r="N30" s="107">
        <v>200</v>
      </c>
      <c r="O30" s="108" t="s">
        <v>15</v>
      </c>
      <c r="P30" s="97"/>
      <c r="Q30" s="98"/>
    </row>
    <row r="31" spans="1:17" ht="18" hidden="1" thickTop="1" thickBot="1">
      <c r="A31" s="99"/>
      <c r="B31" s="100"/>
      <c r="C31" s="101"/>
      <c r="D31" s="101"/>
      <c r="E31" s="101"/>
      <c r="F31" s="102"/>
      <c r="G31" s="103"/>
      <c r="H31" s="104" t="s">
        <v>57</v>
      </c>
      <c r="I31" s="105">
        <v>44964</v>
      </c>
      <c r="J31" s="106">
        <v>20010169</v>
      </c>
      <c r="K31" s="95" t="s">
        <v>17</v>
      </c>
      <c r="L31" s="107" t="s">
        <v>58</v>
      </c>
      <c r="M31" s="107" t="s">
        <v>28</v>
      </c>
      <c r="N31" s="107">
        <v>602</v>
      </c>
      <c r="O31" s="108" t="s">
        <v>15</v>
      </c>
      <c r="P31" s="97"/>
      <c r="Q31" s="98"/>
    </row>
    <row r="32" spans="1:17" ht="18" hidden="1" thickTop="1" thickBot="1">
      <c r="A32" s="99"/>
      <c r="B32" s="100"/>
      <c r="C32" s="101"/>
      <c r="D32" s="101"/>
      <c r="E32" s="101"/>
      <c r="F32" s="102"/>
      <c r="G32" s="103"/>
      <c r="H32" s="104" t="s">
        <v>59</v>
      </c>
      <c r="I32" s="105">
        <v>44979</v>
      </c>
      <c r="J32" s="106">
        <v>20010268</v>
      </c>
      <c r="K32" s="95" t="s">
        <v>17</v>
      </c>
      <c r="L32" s="107" t="s">
        <v>21</v>
      </c>
      <c r="M32" s="107" t="s">
        <v>22</v>
      </c>
      <c r="N32" s="107">
        <v>602</v>
      </c>
      <c r="O32" s="108" t="s">
        <v>15</v>
      </c>
      <c r="P32" s="97"/>
      <c r="Q32" s="98"/>
    </row>
    <row r="33" spans="1:17" ht="18" hidden="1" thickTop="1" thickBot="1">
      <c r="A33" s="99"/>
      <c r="B33" s="100"/>
      <c r="C33" s="101"/>
      <c r="D33" s="101"/>
      <c r="E33" s="101"/>
      <c r="F33" s="102"/>
      <c r="G33" s="103"/>
      <c r="H33" s="104" t="s">
        <v>60</v>
      </c>
      <c r="I33" s="105">
        <v>44999</v>
      </c>
      <c r="J33" s="106">
        <v>20010394</v>
      </c>
      <c r="K33" s="95" t="s">
        <v>17</v>
      </c>
      <c r="L33" s="107" t="s">
        <v>61</v>
      </c>
      <c r="M33" s="107" t="s">
        <v>62</v>
      </c>
      <c r="N33" s="107">
        <v>602</v>
      </c>
      <c r="O33" s="108" t="s">
        <v>15</v>
      </c>
      <c r="P33" s="97"/>
      <c r="Q33" s="98"/>
    </row>
    <row r="34" spans="1:17" ht="18" hidden="1" thickTop="1" thickBot="1">
      <c r="A34" s="99"/>
      <c r="B34" s="100"/>
      <c r="C34" s="101"/>
      <c r="D34" s="101"/>
      <c r="E34" s="101"/>
      <c r="F34" s="102"/>
      <c r="G34" s="103"/>
      <c r="H34" s="104" t="s">
        <v>63</v>
      </c>
      <c r="I34" s="105">
        <v>45034</v>
      </c>
      <c r="J34" s="106">
        <v>20010567</v>
      </c>
      <c r="K34" s="95" t="s">
        <v>17</v>
      </c>
      <c r="L34" s="107" t="s">
        <v>37</v>
      </c>
      <c r="M34" s="107" t="s">
        <v>38</v>
      </c>
      <c r="N34" s="107">
        <v>602</v>
      </c>
      <c r="O34" s="108" t="s">
        <v>15</v>
      </c>
      <c r="P34" s="97"/>
      <c r="Q34" s="98"/>
    </row>
    <row r="35" spans="1:17" ht="18" hidden="1" thickTop="1" thickBot="1">
      <c r="A35" s="99"/>
      <c r="B35" s="100"/>
      <c r="C35" s="101"/>
      <c r="D35" s="101"/>
      <c r="E35" s="101"/>
      <c r="F35" s="102"/>
      <c r="G35" s="103"/>
      <c r="H35" s="104" t="s">
        <v>64</v>
      </c>
      <c r="I35" s="105">
        <v>45049</v>
      </c>
      <c r="J35" s="106">
        <v>20010638</v>
      </c>
      <c r="K35" s="95" t="s">
        <v>17</v>
      </c>
      <c r="L35" s="107" t="s">
        <v>21</v>
      </c>
      <c r="M35" s="107" t="s">
        <v>22</v>
      </c>
      <c r="N35" s="107">
        <v>602</v>
      </c>
      <c r="O35" s="108" t="s">
        <v>15</v>
      </c>
      <c r="P35" s="97"/>
      <c r="Q35" s="98"/>
    </row>
    <row r="36" spans="1:17" ht="18" hidden="1" thickTop="1" thickBot="1">
      <c r="A36" s="99"/>
      <c r="B36" s="100"/>
      <c r="C36" s="101"/>
      <c r="D36" s="101"/>
      <c r="E36" s="101"/>
      <c r="F36" s="102"/>
      <c r="G36" s="103"/>
      <c r="H36" s="104" t="s">
        <v>64</v>
      </c>
      <c r="I36" s="105">
        <v>45049</v>
      </c>
      <c r="J36" s="106">
        <v>20010638</v>
      </c>
      <c r="K36" s="95" t="s">
        <v>17</v>
      </c>
      <c r="L36" s="107" t="s">
        <v>37</v>
      </c>
      <c r="M36" s="107" t="s">
        <v>38</v>
      </c>
      <c r="N36" s="107">
        <v>602</v>
      </c>
      <c r="O36" s="108" t="s">
        <v>15</v>
      </c>
      <c r="P36" s="97"/>
      <c r="Q36" s="98"/>
    </row>
    <row r="37" spans="1:17" ht="18" hidden="1" thickTop="1" thickBot="1">
      <c r="A37" s="99"/>
      <c r="B37" s="100"/>
      <c r="C37" s="101"/>
      <c r="D37" s="101"/>
      <c r="E37" s="101"/>
      <c r="F37" s="102"/>
      <c r="G37" s="103"/>
      <c r="H37" s="104" t="s">
        <v>65</v>
      </c>
      <c r="I37" s="105">
        <v>45049</v>
      </c>
      <c r="J37" s="106" t="s">
        <v>66</v>
      </c>
      <c r="K37" s="95" t="s">
        <v>17</v>
      </c>
      <c r="L37" s="107" t="s">
        <v>67</v>
      </c>
      <c r="M37" s="107" t="s">
        <v>68</v>
      </c>
      <c r="N37" s="107">
        <v>602</v>
      </c>
      <c r="O37" s="108" t="s">
        <v>15</v>
      </c>
      <c r="P37" s="97"/>
      <c r="Q37" s="98"/>
    </row>
    <row r="38" spans="1:17" ht="18" hidden="1" thickTop="1" thickBot="1">
      <c r="A38" s="99"/>
      <c r="B38" s="100"/>
      <c r="C38" s="101"/>
      <c r="D38" s="101"/>
      <c r="E38" s="101"/>
      <c r="F38" s="102"/>
      <c r="G38" s="103"/>
      <c r="H38" s="104" t="s">
        <v>69</v>
      </c>
      <c r="I38" s="105">
        <v>45065</v>
      </c>
      <c r="J38" s="106">
        <v>20010736</v>
      </c>
      <c r="K38" s="95" t="s">
        <v>17</v>
      </c>
      <c r="L38" s="107" t="s">
        <v>21</v>
      </c>
      <c r="M38" s="107" t="s">
        <v>22</v>
      </c>
      <c r="N38" s="107">
        <v>602</v>
      </c>
      <c r="O38" s="108" t="s">
        <v>15</v>
      </c>
      <c r="P38" s="97">
        <f>SUM(N21:N38)</f>
        <v>10234</v>
      </c>
      <c r="Q38" s="98">
        <f>SUM(O21:O38)</f>
        <v>0</v>
      </c>
    </row>
    <row r="39" spans="1:17" ht="18" hidden="1" thickTop="1" thickBot="1">
      <c r="A39" s="109" t="s">
        <v>70</v>
      </c>
      <c r="B39" s="110">
        <v>45050</v>
      </c>
      <c r="C39" s="111" t="s">
        <v>13</v>
      </c>
      <c r="D39" s="111">
        <v>2249</v>
      </c>
      <c r="E39" s="111" t="s">
        <v>14</v>
      </c>
      <c r="F39" s="112">
        <v>3000</v>
      </c>
      <c r="G39" s="113" t="s">
        <v>15</v>
      </c>
      <c r="H39" s="114" t="s">
        <v>71</v>
      </c>
      <c r="I39" s="115">
        <v>45065</v>
      </c>
      <c r="J39" s="116" t="s">
        <v>72</v>
      </c>
      <c r="K39" s="117" t="s">
        <v>17</v>
      </c>
      <c r="L39" s="118" t="s">
        <v>61</v>
      </c>
      <c r="M39" s="118" t="s">
        <v>62</v>
      </c>
      <c r="N39" s="118">
        <v>602</v>
      </c>
      <c r="O39" s="119" t="s">
        <v>15</v>
      </c>
      <c r="P39" s="120"/>
      <c r="Q39" s="121"/>
    </row>
    <row r="40" spans="1:17" ht="18" hidden="1" thickTop="1" thickBot="1">
      <c r="A40" s="109"/>
      <c r="B40" s="110"/>
      <c r="C40" s="111"/>
      <c r="D40" s="111"/>
      <c r="E40" s="111"/>
      <c r="F40" s="112"/>
      <c r="G40" s="113"/>
      <c r="H40" s="114" t="s">
        <v>73</v>
      </c>
      <c r="I40" s="115">
        <v>45090</v>
      </c>
      <c r="J40" s="116">
        <v>20010831</v>
      </c>
      <c r="K40" s="117" t="s">
        <v>17</v>
      </c>
      <c r="L40" s="118" t="s">
        <v>37</v>
      </c>
      <c r="M40" s="118" t="s">
        <v>38</v>
      </c>
      <c r="N40" s="118">
        <v>602</v>
      </c>
      <c r="O40" s="119" t="s">
        <v>15</v>
      </c>
      <c r="P40" s="120"/>
      <c r="Q40" s="121"/>
    </row>
    <row r="41" spans="1:17" ht="18" hidden="1" thickTop="1" thickBot="1">
      <c r="A41" s="109"/>
      <c r="B41" s="110"/>
      <c r="C41" s="111"/>
      <c r="D41" s="111"/>
      <c r="E41" s="111"/>
      <c r="F41" s="112"/>
      <c r="G41" s="113"/>
      <c r="H41" s="114" t="s">
        <v>74</v>
      </c>
      <c r="I41" s="115">
        <v>45118</v>
      </c>
      <c r="J41" s="116">
        <v>20010985</v>
      </c>
      <c r="K41" s="117" t="s">
        <v>17</v>
      </c>
      <c r="L41" s="118" t="s">
        <v>21</v>
      </c>
      <c r="M41" s="118" t="s">
        <v>22</v>
      </c>
      <c r="N41" s="118">
        <v>602</v>
      </c>
      <c r="O41" s="119" t="s">
        <v>15</v>
      </c>
      <c r="P41" s="120"/>
      <c r="Q41" s="121"/>
    </row>
    <row r="42" spans="1:17" ht="18" hidden="1" thickTop="1" thickBot="1">
      <c r="A42" s="109"/>
      <c r="B42" s="110"/>
      <c r="C42" s="111"/>
      <c r="D42" s="111"/>
      <c r="E42" s="111"/>
      <c r="F42" s="112"/>
      <c r="G42" s="113"/>
      <c r="H42" s="114" t="s">
        <v>74</v>
      </c>
      <c r="I42" s="115">
        <v>45118</v>
      </c>
      <c r="J42" s="116">
        <v>20010985</v>
      </c>
      <c r="K42" s="117" t="s">
        <v>17</v>
      </c>
      <c r="L42" s="118" t="s">
        <v>75</v>
      </c>
      <c r="M42" s="118" t="s">
        <v>76</v>
      </c>
      <c r="N42" s="118">
        <v>602</v>
      </c>
      <c r="O42" s="119" t="s">
        <v>15</v>
      </c>
      <c r="P42" s="120"/>
      <c r="Q42" s="121"/>
    </row>
    <row r="43" spans="1:17" ht="18" hidden="1" thickTop="1" thickBot="1">
      <c r="A43" s="109"/>
      <c r="B43" s="110"/>
      <c r="C43" s="111"/>
      <c r="D43" s="111"/>
      <c r="E43" s="111"/>
      <c r="F43" s="112"/>
      <c r="G43" s="113"/>
      <c r="H43" s="114" t="s">
        <v>74</v>
      </c>
      <c r="I43" s="115">
        <v>45118</v>
      </c>
      <c r="J43" s="116">
        <v>20010985</v>
      </c>
      <c r="K43" s="117" t="s">
        <v>17</v>
      </c>
      <c r="L43" s="118" t="s">
        <v>30</v>
      </c>
      <c r="M43" s="118" t="s">
        <v>31</v>
      </c>
      <c r="N43" s="118">
        <v>602</v>
      </c>
      <c r="O43" s="119" t="s">
        <v>15</v>
      </c>
      <c r="P43" s="120">
        <f>SUM(N39:N43)</f>
        <v>3010</v>
      </c>
      <c r="Q43" s="121">
        <f>SUM(O39:O43)</f>
        <v>0</v>
      </c>
    </row>
    <row r="44" spans="1:17" ht="18" hidden="1" thickTop="1" thickBot="1">
      <c r="A44" s="122" t="s">
        <v>77</v>
      </c>
      <c r="B44" s="123">
        <v>45147</v>
      </c>
      <c r="C44" s="124" t="s">
        <v>13</v>
      </c>
      <c r="D44" s="124">
        <v>2249</v>
      </c>
      <c r="E44" s="124" t="s">
        <v>14</v>
      </c>
      <c r="F44" s="125">
        <v>3000</v>
      </c>
      <c r="G44" s="126" t="s">
        <v>15</v>
      </c>
      <c r="H44" s="127" t="s">
        <v>78</v>
      </c>
      <c r="I44" s="128">
        <v>45160</v>
      </c>
      <c r="J44" s="129">
        <v>20011202</v>
      </c>
      <c r="K44" s="130" t="s">
        <v>17</v>
      </c>
      <c r="L44" s="131" t="s">
        <v>24</v>
      </c>
      <c r="M44" s="130" t="s">
        <v>25</v>
      </c>
      <c r="N44" s="131">
        <v>602</v>
      </c>
      <c r="O44" s="132" t="s">
        <v>15</v>
      </c>
      <c r="P44" s="133"/>
      <c r="Q44" s="134"/>
    </row>
    <row r="45" spans="1:17" ht="17.25" thickTop="1">
      <c r="A45" s="122"/>
      <c r="B45" s="123"/>
      <c r="C45" s="124"/>
      <c r="D45" s="124"/>
      <c r="E45" s="124"/>
      <c r="F45" s="125"/>
      <c r="G45" s="126"/>
      <c r="H45" s="127" t="s">
        <v>79</v>
      </c>
      <c r="I45" s="128">
        <v>45188</v>
      </c>
      <c r="J45" s="129">
        <v>20011310</v>
      </c>
      <c r="K45" s="130" t="s">
        <v>17</v>
      </c>
      <c r="L45" s="131" t="s">
        <v>21</v>
      </c>
      <c r="M45" s="131" t="s">
        <v>21</v>
      </c>
      <c r="N45" s="131">
        <v>602</v>
      </c>
      <c r="O45" s="132" t="s">
        <v>15</v>
      </c>
      <c r="P45" s="133"/>
      <c r="Q45" s="134"/>
    </row>
    <row r="46" spans="1:17">
      <c r="A46" s="122"/>
      <c r="B46" s="123"/>
      <c r="C46" s="124"/>
      <c r="D46" s="124"/>
      <c r="E46" s="124"/>
      <c r="F46" s="125"/>
      <c r="G46" s="126"/>
      <c r="H46" s="127" t="s">
        <v>79</v>
      </c>
      <c r="I46" s="128">
        <v>45188</v>
      </c>
      <c r="J46" s="129">
        <v>20011310</v>
      </c>
      <c r="K46" s="130" t="s">
        <v>17</v>
      </c>
      <c r="L46" s="131" t="s">
        <v>37</v>
      </c>
      <c r="M46" s="131" t="s">
        <v>37</v>
      </c>
      <c r="N46" s="131">
        <v>602</v>
      </c>
      <c r="O46" s="132" t="s">
        <v>15</v>
      </c>
      <c r="P46" s="133"/>
      <c r="Q46" s="134"/>
    </row>
    <row r="47" spans="1:17">
      <c r="A47" s="122"/>
      <c r="B47" s="123"/>
      <c r="C47" s="124"/>
      <c r="D47" s="124"/>
      <c r="E47" s="124"/>
      <c r="F47" s="125"/>
      <c r="G47" s="126"/>
      <c r="H47" s="127" t="s">
        <v>80</v>
      </c>
      <c r="I47" s="128">
        <v>45194</v>
      </c>
      <c r="J47" s="129">
        <v>20011344</v>
      </c>
      <c r="K47" s="130" t="s">
        <v>17</v>
      </c>
      <c r="L47" s="131" t="s">
        <v>81</v>
      </c>
      <c r="M47" s="131" t="s">
        <v>28</v>
      </c>
      <c r="N47" s="131">
        <v>602</v>
      </c>
      <c r="O47" s="132" t="s">
        <v>15</v>
      </c>
      <c r="P47" s="133"/>
      <c r="Q47" s="134"/>
    </row>
    <row r="48" spans="1:17">
      <c r="A48" s="122"/>
      <c r="B48" s="123"/>
      <c r="C48" s="124"/>
      <c r="D48" s="124"/>
      <c r="E48" s="124"/>
      <c r="F48" s="125"/>
      <c r="G48" s="126"/>
      <c r="H48" s="127" t="s">
        <v>82</v>
      </c>
      <c r="I48" s="128">
        <v>45218</v>
      </c>
      <c r="J48" s="129">
        <v>20011408</v>
      </c>
      <c r="K48" s="130" t="s">
        <v>17</v>
      </c>
      <c r="L48" s="131" t="s">
        <v>83</v>
      </c>
      <c r="M48" s="131" t="s">
        <v>84</v>
      </c>
      <c r="N48" s="131">
        <v>602</v>
      </c>
      <c r="O48" s="132" t="s">
        <v>15</v>
      </c>
      <c r="P48" s="133">
        <f>SUM(N44:N48)</f>
        <v>3010</v>
      </c>
      <c r="Q48" s="134">
        <f>SUM(O44:O48)</f>
        <v>0</v>
      </c>
    </row>
    <row r="49" spans="1:17">
      <c r="A49" s="135" t="s">
        <v>85</v>
      </c>
      <c r="B49" s="136">
        <v>45212</v>
      </c>
      <c r="C49" s="137" t="s">
        <v>13</v>
      </c>
      <c r="D49" s="137">
        <v>2249</v>
      </c>
      <c r="E49" s="137" t="s">
        <v>14</v>
      </c>
      <c r="F49" s="138">
        <v>3000</v>
      </c>
      <c r="G49" s="139" t="s">
        <v>15</v>
      </c>
      <c r="H49" s="140" t="s">
        <v>86</v>
      </c>
      <c r="I49" s="141">
        <v>45249</v>
      </c>
      <c r="J49" s="142">
        <v>20011546</v>
      </c>
      <c r="K49" s="143" t="s">
        <v>17</v>
      </c>
      <c r="L49" s="144" t="s">
        <v>37</v>
      </c>
      <c r="M49" s="144" t="s">
        <v>38</v>
      </c>
      <c r="N49" s="144">
        <v>602</v>
      </c>
      <c r="O49" s="145" t="s">
        <v>15</v>
      </c>
      <c r="P49" s="146"/>
      <c r="Q49" s="147"/>
    </row>
    <row r="50" spans="1:17">
      <c r="A50" s="135"/>
      <c r="B50" s="136"/>
      <c r="C50" s="137"/>
      <c r="D50" s="137"/>
      <c r="E50" s="137"/>
      <c r="F50" s="138"/>
      <c r="G50" s="139"/>
      <c r="H50" s="140" t="s">
        <v>87</v>
      </c>
      <c r="I50" s="141">
        <v>45260</v>
      </c>
      <c r="J50" s="142">
        <v>20011615</v>
      </c>
      <c r="K50" s="143" t="s">
        <v>17</v>
      </c>
      <c r="L50" s="144" t="s">
        <v>30</v>
      </c>
      <c r="M50" s="144" t="s">
        <v>31</v>
      </c>
      <c r="N50" s="144">
        <v>602</v>
      </c>
      <c r="O50" s="145" t="s">
        <v>15</v>
      </c>
      <c r="P50" s="146"/>
      <c r="Q50" s="147"/>
    </row>
    <row r="51" spans="1:17">
      <c r="A51" s="135"/>
      <c r="B51" s="136"/>
      <c r="C51" s="137"/>
      <c r="D51" s="137"/>
      <c r="E51" s="137"/>
      <c r="F51" s="138"/>
      <c r="G51" s="139"/>
      <c r="H51" s="140" t="s">
        <v>88</v>
      </c>
      <c r="I51" s="141">
        <v>45273</v>
      </c>
      <c r="J51" s="142">
        <v>20011665</v>
      </c>
      <c r="K51" s="143" t="s">
        <v>17</v>
      </c>
      <c r="L51" s="144" t="s">
        <v>21</v>
      </c>
      <c r="M51" s="144" t="s">
        <v>22</v>
      </c>
      <c r="N51" s="144">
        <v>602</v>
      </c>
      <c r="O51" s="145" t="s">
        <v>15</v>
      </c>
      <c r="P51" s="146"/>
      <c r="Q51" s="147"/>
    </row>
    <row r="52" spans="1:17">
      <c r="A52" s="135"/>
      <c r="B52" s="136"/>
      <c r="C52" s="137"/>
      <c r="D52" s="137"/>
      <c r="E52" s="137"/>
      <c r="F52" s="138"/>
      <c r="G52" s="139"/>
      <c r="H52" s="140" t="s">
        <v>89</v>
      </c>
      <c r="I52" s="141">
        <v>45279</v>
      </c>
      <c r="J52" s="142">
        <v>20011700</v>
      </c>
      <c r="K52" s="143" t="s">
        <v>17</v>
      </c>
      <c r="L52" s="144" t="s">
        <v>83</v>
      </c>
      <c r="M52" s="144" t="s">
        <v>84</v>
      </c>
      <c r="N52" s="144">
        <v>602</v>
      </c>
      <c r="O52" s="145" t="s">
        <v>15</v>
      </c>
      <c r="P52" s="146"/>
      <c r="Q52" s="147"/>
    </row>
    <row r="53" spans="1:17" ht="17.25" thickBot="1">
      <c r="A53" s="135"/>
      <c r="B53" s="136"/>
      <c r="C53" s="137"/>
      <c r="D53" s="137"/>
      <c r="E53" s="137"/>
      <c r="F53" s="138"/>
      <c r="G53" s="139"/>
      <c r="H53" s="140" t="s">
        <v>90</v>
      </c>
      <c r="I53" s="141">
        <v>45356</v>
      </c>
      <c r="J53" s="142">
        <v>20012068</v>
      </c>
      <c r="K53" s="144" t="s">
        <v>17</v>
      </c>
      <c r="L53" s="144" t="s">
        <v>91</v>
      </c>
      <c r="M53" s="144" t="s">
        <v>92</v>
      </c>
      <c r="N53" s="144">
        <v>602</v>
      </c>
      <c r="O53" s="145" t="s">
        <v>15</v>
      </c>
      <c r="P53" s="146">
        <f>SUM(N49:N53)</f>
        <v>3010</v>
      </c>
      <c r="Q53" s="147">
        <f>SUM(O49:O53)</f>
        <v>0</v>
      </c>
    </row>
    <row r="54" spans="1:17">
      <c r="A54" s="148" t="s">
        <v>93</v>
      </c>
      <c r="B54" s="149">
        <v>45359</v>
      </c>
      <c r="C54" s="150" t="s">
        <v>13</v>
      </c>
      <c r="D54" s="150">
        <v>2249</v>
      </c>
      <c r="E54" s="150" t="s">
        <v>14</v>
      </c>
      <c r="F54" s="151">
        <v>3000</v>
      </c>
      <c r="G54" s="152" t="s">
        <v>15</v>
      </c>
      <c r="H54" s="153" t="s">
        <v>94</v>
      </c>
      <c r="I54" s="154">
        <v>45370</v>
      </c>
      <c r="J54" s="155">
        <v>20012150</v>
      </c>
      <c r="K54" s="156" t="s">
        <v>17</v>
      </c>
      <c r="L54" s="156" t="s">
        <v>37</v>
      </c>
      <c r="M54" s="156" t="s">
        <v>38</v>
      </c>
      <c r="N54" s="156">
        <v>602</v>
      </c>
      <c r="O54" s="157" t="s">
        <v>15</v>
      </c>
      <c r="P54" s="158"/>
      <c r="Q54" s="159"/>
    </row>
    <row r="55" spans="1:17">
      <c r="A55" s="160"/>
      <c r="B55" s="161"/>
      <c r="C55" s="162"/>
      <c r="D55" s="162"/>
      <c r="E55" s="162"/>
      <c r="F55" s="162"/>
      <c r="G55" s="163"/>
      <c r="H55" s="164" t="s">
        <v>95</v>
      </c>
      <c r="I55" s="165">
        <v>45377</v>
      </c>
      <c r="J55" s="166">
        <v>20012188</v>
      </c>
      <c r="K55" s="167" t="s">
        <v>17</v>
      </c>
      <c r="L55" s="167" t="s">
        <v>21</v>
      </c>
      <c r="M55" s="167" t="s">
        <v>22</v>
      </c>
      <c r="N55" s="167">
        <v>602</v>
      </c>
      <c r="O55" s="168" t="s">
        <v>15</v>
      </c>
      <c r="P55" s="169"/>
      <c r="Q55" s="170"/>
    </row>
    <row r="56" spans="1:17">
      <c r="A56" s="160"/>
      <c r="B56" s="161"/>
      <c r="C56" s="162"/>
      <c r="D56" s="162"/>
      <c r="E56" s="162"/>
      <c r="F56" s="162"/>
      <c r="G56" s="163"/>
      <c r="H56" s="164" t="s">
        <v>95</v>
      </c>
      <c r="I56" s="165">
        <v>45377</v>
      </c>
      <c r="J56" s="166">
        <v>20012188</v>
      </c>
      <c r="K56" s="167" t="s">
        <v>17</v>
      </c>
      <c r="L56" s="167" t="s">
        <v>30</v>
      </c>
      <c r="M56" s="167" t="s">
        <v>31</v>
      </c>
      <c r="N56" s="167">
        <v>602</v>
      </c>
      <c r="O56" s="168" t="s">
        <v>15</v>
      </c>
      <c r="P56" s="169"/>
      <c r="Q56" s="170"/>
    </row>
    <row r="57" spans="1:17">
      <c r="A57" s="160"/>
      <c r="B57" s="161"/>
      <c r="C57" s="162"/>
      <c r="D57" s="162"/>
      <c r="E57" s="162"/>
      <c r="F57" s="162"/>
      <c r="G57" s="163"/>
      <c r="H57" s="164" t="s">
        <v>96</v>
      </c>
      <c r="I57" s="165">
        <v>45418</v>
      </c>
      <c r="J57" s="166">
        <v>20012398</v>
      </c>
      <c r="K57" s="167" t="s">
        <v>17</v>
      </c>
      <c r="L57" s="167" t="s">
        <v>97</v>
      </c>
      <c r="M57" s="167" t="s">
        <v>98</v>
      </c>
      <c r="N57" s="167">
        <v>602</v>
      </c>
      <c r="O57" s="168" t="s">
        <v>15</v>
      </c>
      <c r="P57" s="169"/>
      <c r="Q57" s="171"/>
    </row>
    <row r="58" spans="1:17" ht="17.25" thickBot="1">
      <c r="A58" s="172"/>
      <c r="B58" s="173"/>
      <c r="C58" s="174"/>
      <c r="D58" s="174"/>
      <c r="E58" s="174"/>
      <c r="F58" s="174"/>
      <c r="G58" s="175"/>
      <c r="H58" s="176" t="s">
        <v>99</v>
      </c>
      <c r="I58" s="177">
        <v>45419</v>
      </c>
      <c r="J58" s="178">
        <v>20012417</v>
      </c>
      <c r="K58" s="179" t="s">
        <v>17</v>
      </c>
      <c r="L58" s="179" t="s">
        <v>37</v>
      </c>
      <c r="M58" s="179" t="s">
        <v>38</v>
      </c>
      <c r="N58" s="179">
        <v>602</v>
      </c>
      <c r="O58" s="180" t="s">
        <v>15</v>
      </c>
      <c r="P58" s="181">
        <f>SUM(N54:N58)</f>
        <v>3010</v>
      </c>
      <c r="Q58" s="182">
        <f>P58-F54</f>
        <v>10</v>
      </c>
    </row>
    <row r="59" spans="1:17">
      <c r="A59" s="183" t="s">
        <v>100</v>
      </c>
      <c r="B59" s="184">
        <v>45415</v>
      </c>
      <c r="C59" s="185" t="s">
        <v>13</v>
      </c>
      <c r="D59" s="185">
        <v>2249</v>
      </c>
      <c r="E59" s="185" t="s">
        <v>14</v>
      </c>
      <c r="F59" s="186">
        <v>3000</v>
      </c>
      <c r="G59" s="187" t="s">
        <v>15</v>
      </c>
      <c r="H59" s="188" t="s">
        <v>101</v>
      </c>
      <c r="I59" s="189">
        <v>45433</v>
      </c>
      <c r="J59" s="190">
        <v>20012490</v>
      </c>
      <c r="K59" s="191" t="s">
        <v>17</v>
      </c>
      <c r="L59" s="191" t="s">
        <v>30</v>
      </c>
      <c r="M59" s="191" t="s">
        <v>31</v>
      </c>
      <c r="N59" s="191">
        <v>602</v>
      </c>
      <c r="O59" s="192" t="s">
        <v>15</v>
      </c>
      <c r="P59" s="193"/>
      <c r="Q59" s="194"/>
    </row>
    <row r="60" spans="1:17">
      <c r="A60" s="109"/>
      <c r="B60" s="110"/>
      <c r="C60" s="111"/>
      <c r="D60" s="111"/>
      <c r="E60" s="111"/>
      <c r="F60" s="111"/>
      <c r="G60" s="113"/>
      <c r="H60" s="114" t="s">
        <v>102</v>
      </c>
      <c r="I60" s="115">
        <v>45447</v>
      </c>
      <c r="J60" s="116">
        <v>20012591</v>
      </c>
      <c r="K60" s="118" t="s">
        <v>17</v>
      </c>
      <c r="L60" s="118" t="s">
        <v>37</v>
      </c>
      <c r="M60" s="118" t="s">
        <v>38</v>
      </c>
      <c r="N60" s="118">
        <v>602</v>
      </c>
      <c r="O60" s="119" t="s">
        <v>15</v>
      </c>
      <c r="P60" s="195"/>
      <c r="Q60" s="196"/>
    </row>
    <row r="61" spans="1:17">
      <c r="A61" s="109"/>
      <c r="B61" s="110"/>
      <c r="C61" s="111"/>
      <c r="D61" s="111"/>
      <c r="E61" s="111"/>
      <c r="F61" s="111"/>
      <c r="G61" s="113"/>
      <c r="H61" s="114" t="s">
        <v>103</v>
      </c>
      <c r="I61" s="115">
        <v>45461</v>
      </c>
      <c r="J61" s="116">
        <v>20012665</v>
      </c>
      <c r="K61" s="118" t="s">
        <v>17</v>
      </c>
      <c r="L61" s="118" t="s">
        <v>37</v>
      </c>
      <c r="M61" s="118" t="s">
        <v>38</v>
      </c>
      <c r="N61" s="118">
        <v>602</v>
      </c>
      <c r="O61" s="119" t="s">
        <v>15</v>
      </c>
      <c r="P61" s="195"/>
      <c r="Q61" s="196"/>
    </row>
    <row r="62" spans="1:17">
      <c r="A62" s="109"/>
      <c r="B62" s="110"/>
      <c r="C62" s="111"/>
      <c r="D62" s="111"/>
      <c r="E62" s="111"/>
      <c r="F62" s="111"/>
      <c r="G62" s="113"/>
      <c r="H62" s="114" t="s">
        <v>104</v>
      </c>
      <c r="I62" s="115">
        <v>45468</v>
      </c>
      <c r="J62" s="116">
        <v>20012714</v>
      </c>
      <c r="K62" s="118" t="s">
        <v>17</v>
      </c>
      <c r="L62" s="118" t="s">
        <v>21</v>
      </c>
      <c r="M62" s="118" t="s">
        <v>22</v>
      </c>
      <c r="N62" s="118">
        <v>602</v>
      </c>
      <c r="O62" s="119" t="s">
        <v>15</v>
      </c>
      <c r="P62" s="195"/>
      <c r="Q62" s="196"/>
    </row>
    <row r="63" spans="1:17" ht="17.25" thickBot="1">
      <c r="A63" s="197"/>
      <c r="B63" s="198"/>
      <c r="C63" s="199"/>
      <c r="D63" s="199"/>
      <c r="E63" s="199"/>
      <c r="F63" s="199"/>
      <c r="G63" s="200"/>
      <c r="H63" s="201" t="s">
        <v>104</v>
      </c>
      <c r="I63" s="202">
        <v>45468</v>
      </c>
      <c r="J63" s="203">
        <v>20012714</v>
      </c>
      <c r="K63" s="204" t="s">
        <v>17</v>
      </c>
      <c r="L63" s="204" t="s">
        <v>27</v>
      </c>
      <c r="M63" s="204" t="s">
        <v>28</v>
      </c>
      <c r="N63" s="204">
        <v>602</v>
      </c>
      <c r="O63" s="205" t="s">
        <v>15</v>
      </c>
      <c r="P63" s="206">
        <f>SUM(N59:N63)</f>
        <v>3010</v>
      </c>
      <c r="Q63" s="207">
        <f>P63-F59</f>
        <v>10</v>
      </c>
    </row>
    <row r="64" spans="1:17">
      <c r="A64" s="208" t="s">
        <v>105</v>
      </c>
      <c r="B64" s="209">
        <v>45468</v>
      </c>
      <c r="C64" s="210" t="s">
        <v>13</v>
      </c>
      <c r="D64" s="210">
        <v>2249</v>
      </c>
      <c r="E64" s="210" t="s">
        <v>14</v>
      </c>
      <c r="F64" s="211">
        <v>3000</v>
      </c>
      <c r="G64" s="212" t="s">
        <v>15</v>
      </c>
      <c r="H64" s="213" t="s">
        <v>106</v>
      </c>
      <c r="I64" s="214">
        <v>45475</v>
      </c>
      <c r="J64" s="215">
        <v>20012752</v>
      </c>
      <c r="K64" s="216" t="s">
        <v>17</v>
      </c>
      <c r="L64" s="216" t="s">
        <v>97</v>
      </c>
      <c r="M64" s="216" t="s">
        <v>98</v>
      </c>
      <c r="N64" s="216">
        <v>602</v>
      </c>
      <c r="O64" s="217" t="s">
        <v>15</v>
      </c>
      <c r="P64" s="218"/>
      <c r="Q64" s="219"/>
    </row>
    <row r="65" spans="1:17">
      <c r="A65" s="99"/>
      <c r="B65" s="100"/>
      <c r="C65" s="101"/>
      <c r="D65" s="101"/>
      <c r="E65" s="101"/>
      <c r="F65" s="101"/>
      <c r="G65" s="103"/>
      <c r="H65" s="104" t="s">
        <v>107</v>
      </c>
      <c r="I65" s="105">
        <v>45496</v>
      </c>
      <c r="J65" s="106">
        <v>20012885</v>
      </c>
      <c r="K65" s="107" t="s">
        <v>17</v>
      </c>
      <c r="L65" s="107" t="s">
        <v>37</v>
      </c>
      <c r="M65" s="107" t="s">
        <v>38</v>
      </c>
      <c r="N65" s="107">
        <v>602</v>
      </c>
      <c r="O65" s="108" t="s">
        <v>15</v>
      </c>
      <c r="P65" s="220"/>
      <c r="Q65" s="221"/>
    </row>
    <row r="66" spans="1:17">
      <c r="A66" s="99"/>
      <c r="B66" s="100"/>
      <c r="C66" s="101"/>
      <c r="D66" s="101"/>
      <c r="E66" s="101"/>
      <c r="F66" s="101"/>
      <c r="G66" s="103"/>
      <c r="H66" s="104" t="s">
        <v>107</v>
      </c>
      <c r="I66" s="105">
        <v>45496</v>
      </c>
      <c r="J66" s="106">
        <v>20012885</v>
      </c>
      <c r="K66" s="107" t="s">
        <v>17</v>
      </c>
      <c r="L66" s="107" t="s">
        <v>30</v>
      </c>
      <c r="M66" s="107" t="s">
        <v>31</v>
      </c>
      <c r="N66" s="107">
        <v>602</v>
      </c>
      <c r="O66" s="108" t="s">
        <v>15</v>
      </c>
      <c r="P66" s="220"/>
      <c r="Q66" s="221"/>
    </row>
    <row r="67" spans="1:17">
      <c r="A67" s="99"/>
      <c r="B67" s="100"/>
      <c r="C67" s="101"/>
      <c r="D67" s="101"/>
      <c r="E67" s="101"/>
      <c r="F67" s="101"/>
      <c r="G67" s="103"/>
      <c r="H67" s="104" t="s">
        <v>108</v>
      </c>
      <c r="I67" s="105">
        <v>45545</v>
      </c>
      <c r="J67" s="106">
        <v>20013100</v>
      </c>
      <c r="K67" s="107" t="s">
        <v>17</v>
      </c>
      <c r="L67" s="107" t="s">
        <v>21</v>
      </c>
      <c r="M67" s="107" t="s">
        <v>22</v>
      </c>
      <c r="N67" s="107">
        <v>602</v>
      </c>
      <c r="O67" s="108" t="s">
        <v>15</v>
      </c>
      <c r="P67" s="222"/>
      <c r="Q67" s="221"/>
    </row>
    <row r="68" spans="1:17" ht="17.25" thickBot="1">
      <c r="A68" s="223"/>
      <c r="B68" s="224"/>
      <c r="C68" s="225"/>
      <c r="D68" s="225"/>
      <c r="E68" s="225"/>
      <c r="F68" s="225"/>
      <c r="G68" s="226"/>
      <c r="H68" s="227" t="s">
        <v>108</v>
      </c>
      <c r="I68" s="228">
        <v>45545</v>
      </c>
      <c r="J68" s="229">
        <v>20013100</v>
      </c>
      <c r="K68" s="230" t="s">
        <v>17</v>
      </c>
      <c r="L68" s="230" t="s">
        <v>37</v>
      </c>
      <c r="M68" s="230" t="s">
        <v>38</v>
      </c>
      <c r="N68" s="230">
        <v>602</v>
      </c>
      <c r="O68" s="231" t="s">
        <v>15</v>
      </c>
      <c r="P68" s="232">
        <f>SUM(N64:N68)</f>
        <v>3010</v>
      </c>
      <c r="Q68" s="233">
        <f>P68-F64</f>
        <v>10</v>
      </c>
    </row>
    <row r="69" spans="1:17">
      <c r="A69" s="234" t="s">
        <v>109</v>
      </c>
      <c r="B69" s="235">
        <v>45524</v>
      </c>
      <c r="C69" s="236" t="s">
        <v>13</v>
      </c>
      <c r="D69" s="236">
        <v>2249</v>
      </c>
      <c r="E69" s="236" t="s">
        <v>14</v>
      </c>
      <c r="F69" s="237">
        <v>3000</v>
      </c>
      <c r="G69" s="238" t="s">
        <v>15</v>
      </c>
      <c r="H69" s="239" t="s">
        <v>163</v>
      </c>
      <c r="I69" s="240">
        <v>45587</v>
      </c>
      <c r="J69" s="241">
        <v>20013296</v>
      </c>
      <c r="K69" s="242" t="s">
        <v>17</v>
      </c>
      <c r="L69" s="242" t="s">
        <v>30</v>
      </c>
      <c r="M69" s="242" t="s">
        <v>31</v>
      </c>
      <c r="N69" s="242">
        <v>602</v>
      </c>
      <c r="O69" s="243" t="s">
        <v>15</v>
      </c>
      <c r="P69" s="244"/>
      <c r="Q69" s="245"/>
    </row>
    <row r="70" spans="1:17">
      <c r="A70" s="234"/>
      <c r="B70" s="235"/>
      <c r="C70" s="236"/>
      <c r="D70" s="236"/>
      <c r="E70" s="236"/>
      <c r="F70" s="236"/>
      <c r="G70" s="238"/>
      <c r="H70" s="246" t="s">
        <v>164</v>
      </c>
      <c r="I70" s="247">
        <v>45601</v>
      </c>
      <c r="J70" s="248">
        <v>20013358</v>
      </c>
      <c r="K70" s="249" t="s">
        <v>17</v>
      </c>
      <c r="L70" s="249" t="s">
        <v>127</v>
      </c>
      <c r="M70" s="249" t="s">
        <v>38</v>
      </c>
      <c r="N70" s="249">
        <v>602</v>
      </c>
      <c r="O70" s="250" t="s">
        <v>15</v>
      </c>
      <c r="P70" s="251"/>
      <c r="Q70" s="245"/>
    </row>
    <row r="71" spans="1:17">
      <c r="A71" s="234"/>
      <c r="B71" s="235"/>
      <c r="C71" s="236"/>
      <c r="D71" s="236"/>
      <c r="E71" s="236"/>
      <c r="F71" s="236"/>
      <c r="G71" s="238"/>
      <c r="H71" s="246" t="s">
        <v>170</v>
      </c>
      <c r="I71" s="247">
        <v>45629</v>
      </c>
      <c r="J71" s="248">
        <v>20013505</v>
      </c>
      <c r="K71" s="249" t="s">
        <v>17</v>
      </c>
      <c r="L71" s="249" t="s">
        <v>21</v>
      </c>
      <c r="M71" s="249" t="s">
        <v>22</v>
      </c>
      <c r="N71" s="249">
        <v>602</v>
      </c>
      <c r="O71" s="250" t="s">
        <v>15</v>
      </c>
      <c r="P71" s="244"/>
      <c r="Q71" s="245"/>
    </row>
    <row r="72" spans="1:17">
      <c r="A72" s="234"/>
      <c r="B72" s="235"/>
      <c r="C72" s="236"/>
      <c r="D72" s="236"/>
      <c r="E72" s="236"/>
      <c r="F72" s="236"/>
      <c r="G72" s="238"/>
      <c r="H72" s="246" t="s">
        <v>171</v>
      </c>
      <c r="I72" s="247">
        <v>45643</v>
      </c>
      <c r="J72" s="248">
        <v>20013593</v>
      </c>
      <c r="K72" s="249" t="s">
        <v>17</v>
      </c>
      <c r="L72" s="249" t="s">
        <v>24</v>
      </c>
      <c r="M72" s="249" t="s">
        <v>25</v>
      </c>
      <c r="N72" s="249">
        <v>602</v>
      </c>
      <c r="O72" s="250" t="s">
        <v>15</v>
      </c>
      <c r="P72" s="244"/>
      <c r="Q72" s="245"/>
    </row>
    <row r="73" spans="1:17" ht="17.25" thickBot="1">
      <c r="A73" s="252"/>
      <c r="B73" s="253"/>
      <c r="C73" s="254"/>
      <c r="D73" s="254"/>
      <c r="E73" s="254"/>
      <c r="F73" s="254"/>
      <c r="G73" s="255"/>
      <c r="H73" s="256" t="s">
        <v>195</v>
      </c>
      <c r="I73" s="257">
        <v>45685</v>
      </c>
      <c r="J73" s="258">
        <v>20013743</v>
      </c>
      <c r="K73" s="259" t="s">
        <v>17</v>
      </c>
      <c r="L73" s="259" t="s">
        <v>37</v>
      </c>
      <c r="M73" s="259" t="s">
        <v>38</v>
      </c>
      <c r="N73" s="259">
        <v>602</v>
      </c>
      <c r="O73" s="260" t="s">
        <v>15</v>
      </c>
      <c r="P73" s="261">
        <f>SUM(N69:N73)</f>
        <v>3010</v>
      </c>
      <c r="Q73" s="262">
        <f>P73-F69</f>
        <v>10</v>
      </c>
    </row>
    <row r="74" spans="1:17">
      <c r="A74" s="81" t="s">
        <v>198</v>
      </c>
      <c r="B74" s="82">
        <v>45663</v>
      </c>
      <c r="C74" s="83" t="s">
        <v>13</v>
      </c>
      <c r="D74" s="83">
        <v>2249</v>
      </c>
      <c r="E74" s="83" t="s">
        <v>14</v>
      </c>
      <c r="F74" s="263">
        <v>3000</v>
      </c>
      <c r="G74" s="85" t="s">
        <v>15</v>
      </c>
      <c r="H74" s="264" t="s">
        <v>194</v>
      </c>
      <c r="I74" s="265">
        <v>45707</v>
      </c>
      <c r="J74" s="266">
        <v>20013851</v>
      </c>
      <c r="K74" s="267" t="s">
        <v>17</v>
      </c>
      <c r="L74" s="267" t="s">
        <v>127</v>
      </c>
      <c r="M74" s="267" t="s">
        <v>38</v>
      </c>
      <c r="N74" s="267">
        <v>602</v>
      </c>
      <c r="O74" s="268" t="s">
        <v>15</v>
      </c>
      <c r="P74" s="269"/>
      <c r="Q74" s="270"/>
    </row>
    <row r="75" spans="1:17">
      <c r="A75" s="81"/>
      <c r="B75" s="82"/>
      <c r="C75" s="83"/>
      <c r="D75" s="83"/>
      <c r="E75" s="83"/>
      <c r="F75" s="83"/>
      <c r="G75" s="85"/>
      <c r="H75" s="271" t="s">
        <v>196</v>
      </c>
      <c r="I75" s="272">
        <v>45727</v>
      </c>
      <c r="J75" s="273">
        <v>20013956</v>
      </c>
      <c r="K75" s="274" t="s">
        <v>17</v>
      </c>
      <c r="L75" s="274" t="s">
        <v>30</v>
      </c>
      <c r="M75" s="274" t="s">
        <v>31</v>
      </c>
      <c r="N75" s="274">
        <v>602</v>
      </c>
      <c r="O75" s="275" t="s">
        <v>15</v>
      </c>
      <c r="P75" s="269"/>
      <c r="Q75" s="270"/>
    </row>
    <row r="76" spans="1:17">
      <c r="A76" s="81"/>
      <c r="B76" s="82"/>
      <c r="C76" s="83"/>
      <c r="D76" s="83"/>
      <c r="E76" s="83"/>
      <c r="F76" s="83"/>
      <c r="G76" s="85"/>
      <c r="H76" s="271" t="s">
        <v>197</v>
      </c>
      <c r="I76" s="272">
        <v>45727</v>
      </c>
      <c r="J76" s="273">
        <v>20013956</v>
      </c>
      <c r="K76" s="274" t="s">
        <v>17</v>
      </c>
      <c r="L76" s="274" t="s">
        <v>61</v>
      </c>
      <c r="M76" s="274" t="s">
        <v>62</v>
      </c>
      <c r="N76" s="274">
        <v>602</v>
      </c>
      <c r="O76" s="275" t="s">
        <v>15</v>
      </c>
      <c r="P76" s="269"/>
      <c r="Q76" s="270"/>
    </row>
    <row r="77" spans="1:17">
      <c r="A77" s="81"/>
      <c r="B77" s="82"/>
      <c r="C77" s="83"/>
      <c r="D77" s="83"/>
      <c r="E77" s="83"/>
      <c r="F77" s="83"/>
      <c r="G77" s="85"/>
      <c r="H77" s="271" t="s">
        <v>202</v>
      </c>
      <c r="I77" s="272">
        <v>45742</v>
      </c>
      <c r="J77" s="273">
        <v>20014040</v>
      </c>
      <c r="K77" s="274" t="s">
        <v>17</v>
      </c>
      <c r="L77" s="274" t="s">
        <v>201</v>
      </c>
      <c r="M77" s="274" t="s">
        <v>38</v>
      </c>
      <c r="N77" s="274">
        <v>602</v>
      </c>
      <c r="O77" s="275" t="s">
        <v>15</v>
      </c>
      <c r="P77" s="269"/>
      <c r="Q77" s="270"/>
    </row>
    <row r="78" spans="1:17" ht="17.25" thickBot="1">
      <c r="A78" s="276"/>
      <c r="B78" s="277"/>
      <c r="C78" s="278"/>
      <c r="D78" s="278"/>
      <c r="E78" s="278"/>
      <c r="F78" s="279"/>
      <c r="G78" s="280"/>
      <c r="H78" s="281" t="s">
        <v>210</v>
      </c>
      <c r="I78" s="282">
        <v>45783</v>
      </c>
      <c r="J78" s="283">
        <v>20014196</v>
      </c>
      <c r="K78" s="284" t="s">
        <v>17</v>
      </c>
      <c r="L78" s="284" t="s">
        <v>211</v>
      </c>
      <c r="M78" s="284" t="s">
        <v>22</v>
      </c>
      <c r="N78" s="284">
        <v>602</v>
      </c>
      <c r="O78" s="285" t="s">
        <v>15</v>
      </c>
      <c r="P78" s="286">
        <f>SUM(N74:N78)</f>
        <v>3010</v>
      </c>
      <c r="Q78" s="287">
        <f>P78-F74</f>
        <v>10</v>
      </c>
    </row>
    <row r="79" spans="1:17">
      <c r="A79" s="288" t="s">
        <v>209</v>
      </c>
      <c r="B79" s="289">
        <v>45775</v>
      </c>
      <c r="C79" s="290" t="s">
        <v>13</v>
      </c>
      <c r="D79" s="290">
        <v>2249</v>
      </c>
      <c r="E79" s="290" t="s">
        <v>14</v>
      </c>
      <c r="F79" s="291">
        <v>3000</v>
      </c>
      <c r="G79" s="292" t="s">
        <v>15</v>
      </c>
      <c r="H79" s="293" t="s">
        <v>210</v>
      </c>
      <c r="I79" s="294">
        <v>45783</v>
      </c>
      <c r="J79" s="295">
        <v>20014196</v>
      </c>
      <c r="K79" s="296" t="s">
        <v>17</v>
      </c>
      <c r="L79" s="296" t="s">
        <v>201</v>
      </c>
      <c r="M79" s="296" t="s">
        <v>38</v>
      </c>
      <c r="N79" s="296">
        <v>602</v>
      </c>
      <c r="O79" s="297" t="s">
        <v>15</v>
      </c>
      <c r="P79" s="298"/>
      <c r="Q79" s="299"/>
    </row>
    <row r="80" spans="1:17">
      <c r="A80" s="300"/>
      <c r="B80" s="301"/>
      <c r="C80" s="302"/>
      <c r="D80" s="302"/>
      <c r="E80" s="302"/>
      <c r="F80" s="302"/>
      <c r="G80" s="303"/>
      <c r="H80" s="304" t="s">
        <v>212</v>
      </c>
      <c r="I80" s="305">
        <v>45797</v>
      </c>
      <c r="J80" s="306">
        <v>20014268</v>
      </c>
      <c r="K80" s="307" t="s">
        <v>17</v>
      </c>
      <c r="L80" s="307" t="s">
        <v>21</v>
      </c>
      <c r="M80" s="307" t="s">
        <v>22</v>
      </c>
      <c r="N80" s="307">
        <v>602</v>
      </c>
      <c r="O80" s="308" t="s">
        <v>15</v>
      </c>
      <c r="P80" s="309"/>
      <c r="Q80" s="310"/>
    </row>
    <row r="81" spans="1:17">
      <c r="A81" s="300"/>
      <c r="B81" s="301"/>
      <c r="C81" s="302"/>
      <c r="D81" s="302"/>
      <c r="E81" s="302"/>
      <c r="F81" s="302"/>
      <c r="G81" s="303"/>
      <c r="H81" s="304" t="s">
        <v>212</v>
      </c>
      <c r="I81" s="305">
        <v>45797</v>
      </c>
      <c r="J81" s="306">
        <v>20014268</v>
      </c>
      <c r="K81" s="307" t="s">
        <v>17</v>
      </c>
      <c r="L81" s="307" t="s">
        <v>37</v>
      </c>
      <c r="M81" s="307" t="s">
        <v>38</v>
      </c>
      <c r="N81" s="307">
        <v>602</v>
      </c>
      <c r="O81" s="308" t="s">
        <v>15</v>
      </c>
      <c r="P81" s="309"/>
      <c r="Q81" s="310"/>
    </row>
    <row r="82" spans="1:17">
      <c r="A82" s="300"/>
      <c r="B82" s="301"/>
      <c r="C82" s="302"/>
      <c r="D82" s="302"/>
      <c r="E82" s="302"/>
      <c r="F82" s="302"/>
      <c r="G82" s="303"/>
      <c r="H82" s="304" t="s">
        <v>213</v>
      </c>
      <c r="I82" s="305">
        <v>45797</v>
      </c>
      <c r="J82" s="306">
        <v>20014283</v>
      </c>
      <c r="K82" s="307" t="s">
        <v>17</v>
      </c>
      <c r="L82" s="307" t="s">
        <v>30</v>
      </c>
      <c r="M82" s="307" t="s">
        <v>31</v>
      </c>
      <c r="N82" s="307">
        <v>602</v>
      </c>
      <c r="O82" s="308" t="s">
        <v>15</v>
      </c>
      <c r="P82" s="309"/>
      <c r="Q82" s="310"/>
    </row>
    <row r="83" spans="1:17" ht="17.25" thickBot="1">
      <c r="A83" s="311"/>
      <c r="B83" s="312"/>
      <c r="C83" s="313"/>
      <c r="D83" s="313"/>
      <c r="E83" s="313"/>
      <c r="F83" s="313"/>
      <c r="G83" s="314"/>
      <c r="H83" s="315" t="s">
        <v>226</v>
      </c>
      <c r="I83" s="316">
        <v>45867</v>
      </c>
      <c r="J83" s="317">
        <v>20014567</v>
      </c>
      <c r="K83" s="318" t="s">
        <v>17</v>
      </c>
      <c r="L83" s="318" t="s">
        <v>201</v>
      </c>
      <c r="M83" s="318" t="s">
        <v>232</v>
      </c>
      <c r="N83" s="318">
        <v>1000</v>
      </c>
      <c r="O83" s="319" t="s">
        <v>15</v>
      </c>
      <c r="P83" s="320">
        <f>SUM(N79:N83)</f>
        <v>3408</v>
      </c>
      <c r="Q83" s="321">
        <f>P83-F79</f>
        <v>408</v>
      </c>
    </row>
    <row r="84" spans="1:17">
      <c r="A84" s="81" t="s">
        <v>219</v>
      </c>
      <c r="B84" s="82">
        <v>45797</v>
      </c>
      <c r="C84" s="821" t="s">
        <v>13</v>
      </c>
      <c r="D84" s="821">
        <v>2249</v>
      </c>
      <c r="E84" s="821" t="s">
        <v>14</v>
      </c>
      <c r="F84" s="822">
        <v>3000</v>
      </c>
      <c r="G84" s="823" t="s">
        <v>15</v>
      </c>
      <c r="H84" s="264" t="s">
        <v>273</v>
      </c>
      <c r="I84" s="265">
        <v>45946</v>
      </c>
      <c r="J84" s="266">
        <v>20014882</v>
      </c>
      <c r="K84" s="267" t="s">
        <v>17</v>
      </c>
      <c r="L84" s="267" t="s">
        <v>211</v>
      </c>
      <c r="M84" s="267" t="s">
        <v>22</v>
      </c>
      <c r="N84" s="267">
        <v>1000</v>
      </c>
      <c r="O84" s="268" t="s">
        <v>15</v>
      </c>
      <c r="P84" s="269"/>
      <c r="Q84" s="270"/>
    </row>
    <row r="85" spans="1:17">
      <c r="A85" s="81"/>
      <c r="B85" s="82"/>
      <c r="C85" s="83"/>
      <c r="D85" s="83"/>
      <c r="E85" s="83"/>
      <c r="F85" s="83"/>
      <c r="G85" s="85"/>
      <c r="H85" s="271" t="s">
        <v>278</v>
      </c>
      <c r="I85" s="272">
        <v>45951</v>
      </c>
      <c r="J85" s="273">
        <v>20014916</v>
      </c>
      <c r="K85" s="274" t="s">
        <v>17</v>
      </c>
      <c r="L85" s="274" t="s">
        <v>30</v>
      </c>
      <c r="M85" s="274" t="s">
        <v>31</v>
      </c>
      <c r="N85" s="274">
        <v>1000</v>
      </c>
      <c r="O85" s="275" t="s">
        <v>15</v>
      </c>
      <c r="P85" s="269"/>
      <c r="Q85" s="270"/>
    </row>
    <row r="86" spans="1:17">
      <c r="A86" s="81"/>
      <c r="B86" s="82"/>
      <c r="C86" s="83"/>
      <c r="D86" s="83"/>
      <c r="E86" s="83"/>
      <c r="F86" s="83"/>
      <c r="G86" s="85"/>
      <c r="H86" s="271" t="s">
        <v>279</v>
      </c>
      <c r="I86" s="272">
        <v>45965</v>
      </c>
      <c r="J86" s="273">
        <v>20014981</v>
      </c>
      <c r="K86" s="274" t="s">
        <v>17</v>
      </c>
      <c r="L86" s="274" t="s">
        <v>234</v>
      </c>
      <c r="M86" s="274" t="s">
        <v>232</v>
      </c>
      <c r="N86" s="274">
        <v>500</v>
      </c>
      <c r="O86" s="275" t="s">
        <v>15</v>
      </c>
      <c r="P86" s="269"/>
      <c r="Q86" s="270"/>
    </row>
    <row r="87" spans="1:17">
      <c r="A87" s="81"/>
      <c r="B87" s="82"/>
      <c r="C87" s="83"/>
      <c r="D87" s="83"/>
      <c r="E87" s="83"/>
      <c r="F87" s="83"/>
      <c r="G87" s="85"/>
      <c r="H87" s="271" t="s">
        <v>280</v>
      </c>
      <c r="I87" s="272">
        <v>45965</v>
      </c>
      <c r="J87" s="273">
        <v>20014981</v>
      </c>
      <c r="K87" s="274" t="s">
        <v>17</v>
      </c>
      <c r="L87" s="274" t="s">
        <v>234</v>
      </c>
      <c r="M87" s="274" t="s">
        <v>232</v>
      </c>
      <c r="N87" s="274">
        <v>500</v>
      </c>
      <c r="O87" s="275" t="s">
        <v>15</v>
      </c>
      <c r="P87" s="269"/>
      <c r="Q87" s="270"/>
    </row>
    <row r="88" spans="1:17">
      <c r="A88" s="81"/>
      <c r="B88" s="82"/>
      <c r="C88" s="83"/>
      <c r="D88" s="83"/>
      <c r="E88" s="83"/>
      <c r="F88" s="83"/>
      <c r="G88" s="85"/>
      <c r="H88" s="271"/>
      <c r="I88" s="272"/>
      <c r="J88" s="273"/>
      <c r="K88" s="274"/>
      <c r="L88" s="274"/>
      <c r="M88" s="274"/>
      <c r="N88" s="274"/>
      <c r="O88" s="275"/>
      <c r="P88" s="269">
        <f>+N84+N85+N86+N87</f>
        <v>3000</v>
      </c>
      <c r="Q88" s="270">
        <f>+F84-P88</f>
        <v>0</v>
      </c>
    </row>
    <row r="89" spans="1:17" ht="17.25" thickBot="1">
      <c r="A89" s="824"/>
      <c r="B89" s="825"/>
      <c r="C89" s="826"/>
      <c r="D89" s="826"/>
      <c r="E89" s="826"/>
      <c r="F89" s="826"/>
      <c r="G89" s="827"/>
      <c r="H89" s="828"/>
      <c r="I89" s="829"/>
      <c r="J89" s="830"/>
      <c r="K89" s="831"/>
      <c r="L89" s="831"/>
      <c r="M89" s="831"/>
      <c r="N89" s="831"/>
      <c r="O89" s="832"/>
      <c r="P89" s="833"/>
      <c r="Q89" s="834"/>
    </row>
    <row r="90" spans="1:17" ht="17.25" thickTop="1">
      <c r="A90" s="81" t="s">
        <v>282</v>
      </c>
      <c r="B90" s="82">
        <v>45966</v>
      </c>
      <c r="C90" s="821" t="s">
        <v>13</v>
      </c>
      <c r="D90" s="821">
        <v>2249</v>
      </c>
      <c r="E90" s="821" t="s">
        <v>14</v>
      </c>
      <c r="F90" s="822">
        <v>3000</v>
      </c>
      <c r="G90" s="823" t="s">
        <v>15</v>
      </c>
      <c r="H90" s="264" t="s">
        <v>284</v>
      </c>
      <c r="I90" s="265">
        <v>45979</v>
      </c>
      <c r="J90" s="266">
        <v>20015019</v>
      </c>
      <c r="K90" s="267" t="s">
        <v>17</v>
      </c>
      <c r="L90" s="267" t="s">
        <v>297</v>
      </c>
      <c r="M90" s="267" t="s">
        <v>28</v>
      </c>
      <c r="N90" s="267">
        <v>602</v>
      </c>
      <c r="O90" s="268" t="s">
        <v>15</v>
      </c>
      <c r="P90" s="269"/>
      <c r="Q90" s="270"/>
    </row>
    <row r="91" spans="1:17">
      <c r="A91" s="914" t="s">
        <v>285</v>
      </c>
      <c r="B91" s="82"/>
      <c r="C91" s="83"/>
      <c r="D91" s="83"/>
      <c r="E91" s="83"/>
      <c r="F91" s="83"/>
      <c r="G91" s="85"/>
      <c r="H91" s="271" t="s">
        <v>298</v>
      </c>
      <c r="I91" s="272">
        <v>46057</v>
      </c>
      <c r="J91" s="273">
        <v>20015280</v>
      </c>
      <c r="K91" s="274" t="s">
        <v>17</v>
      </c>
      <c r="L91" s="274" t="s">
        <v>234</v>
      </c>
      <c r="M91" s="274" t="s">
        <v>232</v>
      </c>
      <c r="N91" s="274">
        <v>1000</v>
      </c>
      <c r="O91" s="275" t="s">
        <v>15</v>
      </c>
      <c r="P91" s="269"/>
      <c r="Q91" s="270"/>
    </row>
    <row r="92" spans="1:17">
      <c r="A92" s="81"/>
      <c r="B92" s="82"/>
      <c r="C92" s="83"/>
      <c r="D92" s="83"/>
      <c r="E92" s="83"/>
      <c r="F92" s="83"/>
      <c r="G92" s="85"/>
      <c r="H92" s="271" t="s">
        <v>318</v>
      </c>
      <c r="I92" s="272">
        <v>46113</v>
      </c>
      <c r="J92" s="273">
        <v>20015597</v>
      </c>
      <c r="K92" s="274" t="s">
        <v>17</v>
      </c>
      <c r="L92" s="274" t="s">
        <v>234</v>
      </c>
      <c r="M92" s="274" t="s">
        <v>232</v>
      </c>
      <c r="N92" s="274">
        <v>1000</v>
      </c>
      <c r="O92" s="275" t="s">
        <v>15</v>
      </c>
      <c r="P92" s="269"/>
      <c r="Q92" s="270"/>
    </row>
    <row r="93" spans="1:17">
      <c r="A93" s="81" t="s">
        <v>321</v>
      </c>
      <c r="B93" s="82">
        <v>46119</v>
      </c>
      <c r="C93" s="83" t="s">
        <v>13</v>
      </c>
      <c r="D93" s="83">
        <v>2249</v>
      </c>
      <c r="E93" s="83" t="s">
        <v>14</v>
      </c>
      <c r="F93" s="263">
        <v>3000</v>
      </c>
      <c r="G93" s="85" t="s">
        <v>15</v>
      </c>
      <c r="H93" s="271" t="s">
        <v>337</v>
      </c>
      <c r="I93" s="272">
        <v>46147</v>
      </c>
      <c r="J93" s="273">
        <v>20015826</v>
      </c>
      <c r="K93" s="274" t="s">
        <v>17</v>
      </c>
      <c r="L93" s="274" t="s">
        <v>325</v>
      </c>
      <c r="M93" s="274" t="s">
        <v>352</v>
      </c>
      <c r="N93" s="274">
        <v>602</v>
      </c>
      <c r="O93" s="275" t="s">
        <v>15</v>
      </c>
      <c r="P93" s="269">
        <f>+F90+F93-N90-N91-N92-N93-N94-N95</f>
        <v>796</v>
      </c>
      <c r="Q93" s="270">
        <f>+P93</f>
        <v>796</v>
      </c>
    </row>
    <row r="94" spans="1:17">
      <c r="A94" s="81" t="s">
        <v>335</v>
      </c>
      <c r="B94" s="82"/>
      <c r="C94" s="83"/>
      <c r="D94" s="83"/>
      <c r="E94" s="83"/>
      <c r="F94" s="83"/>
      <c r="G94" s="85"/>
      <c r="H94" s="271" t="s">
        <v>356</v>
      </c>
      <c r="I94" s="272">
        <v>46161</v>
      </c>
      <c r="J94" s="273">
        <v>20015936</v>
      </c>
      <c r="K94" s="274" t="s">
        <v>17</v>
      </c>
      <c r="L94" s="274" t="s">
        <v>211</v>
      </c>
      <c r="M94" s="274" t="s">
        <v>353</v>
      </c>
      <c r="N94" s="274">
        <v>1000</v>
      </c>
      <c r="O94" s="275" t="s">
        <v>15</v>
      </c>
      <c r="P94" s="269"/>
      <c r="Q94" s="270"/>
    </row>
    <row r="95" spans="1:17" ht="17.25" thickBot="1">
      <c r="A95" s="824"/>
      <c r="B95" s="825"/>
      <c r="C95" s="826"/>
      <c r="D95" s="826"/>
      <c r="E95" s="826"/>
      <c r="F95" s="826"/>
      <c r="G95" s="827"/>
      <c r="H95" s="828" t="s">
        <v>361</v>
      </c>
      <c r="I95" s="829">
        <v>46169</v>
      </c>
      <c r="J95" s="830">
        <v>20015989</v>
      </c>
      <c r="K95" s="831" t="s">
        <v>17</v>
      </c>
      <c r="L95" s="831" t="s">
        <v>234</v>
      </c>
      <c r="M95" s="831" t="s">
        <v>232</v>
      </c>
      <c r="N95" s="831">
        <v>1000</v>
      </c>
      <c r="O95" s="832" t="s">
        <v>15</v>
      </c>
      <c r="P95" s="833"/>
      <c r="Q95" s="834"/>
    </row>
    <row r="96" spans="1:17" ht="17.25" thickTop="1">
      <c r="A96" s="322" t="s">
        <v>364</v>
      </c>
      <c r="B96" s="323">
        <v>46171</v>
      </c>
      <c r="C96" s="835" t="s">
        <v>13</v>
      </c>
      <c r="D96" s="835">
        <v>2249</v>
      </c>
      <c r="E96" s="835" t="s">
        <v>14</v>
      </c>
      <c r="F96" s="865">
        <v>6000</v>
      </c>
      <c r="G96" s="836" t="s">
        <v>15</v>
      </c>
      <c r="H96" s="837" t="s">
        <v>395</v>
      </c>
      <c r="I96" s="838">
        <v>46253</v>
      </c>
      <c r="J96" s="839">
        <v>20016267</v>
      </c>
      <c r="K96" s="732" t="s">
        <v>17</v>
      </c>
      <c r="L96" s="732" t="s">
        <v>292</v>
      </c>
      <c r="M96" s="732" t="s">
        <v>396</v>
      </c>
      <c r="N96" s="732">
        <v>1000</v>
      </c>
      <c r="O96" s="840" t="s">
        <v>15</v>
      </c>
      <c r="P96" s="324">
        <f>+N96+N97</f>
        <v>1602</v>
      </c>
      <c r="Q96" s="325">
        <f>+F96-N96-N97</f>
        <v>4398</v>
      </c>
    </row>
    <row r="97" spans="1:17">
      <c r="A97" s="322" t="s">
        <v>378</v>
      </c>
      <c r="B97" s="323"/>
      <c r="C97" s="835"/>
      <c r="D97" s="835"/>
      <c r="E97" s="835"/>
      <c r="F97" s="835"/>
      <c r="G97" s="836"/>
      <c r="H97" s="837" t="s">
        <v>405</v>
      </c>
      <c r="I97" s="838">
        <v>46233</v>
      </c>
      <c r="J97" s="839">
        <v>20016392</v>
      </c>
      <c r="K97" s="732" t="s">
        <v>17</v>
      </c>
      <c r="L97" s="732" t="s">
        <v>34</v>
      </c>
      <c r="M97" s="732" t="s">
        <v>406</v>
      </c>
      <c r="N97" s="732">
        <v>602</v>
      </c>
      <c r="O97" s="840" t="s">
        <v>15</v>
      </c>
      <c r="P97" s="324"/>
      <c r="Q97" s="325"/>
    </row>
    <row r="98" spans="1:17">
      <c r="A98" s="322"/>
      <c r="B98" s="323"/>
      <c r="C98" s="835"/>
      <c r="D98" s="835"/>
      <c r="E98" s="835"/>
      <c r="F98" s="835"/>
      <c r="G98" s="836"/>
      <c r="H98" s="837"/>
      <c r="I98" s="838"/>
      <c r="J98" s="839"/>
      <c r="K98" s="732"/>
      <c r="L98" s="732"/>
      <c r="M98" s="732"/>
      <c r="N98" s="732"/>
      <c r="O98" s="840"/>
      <c r="P98" s="324"/>
      <c r="Q98" s="325"/>
    </row>
    <row r="99" spans="1:17">
      <c r="A99" s="322"/>
      <c r="B99" s="323"/>
      <c r="C99" s="835"/>
      <c r="D99" s="835"/>
      <c r="E99" s="835"/>
      <c r="F99" s="835"/>
      <c r="G99" s="836"/>
      <c r="H99" s="837"/>
      <c r="I99" s="838"/>
      <c r="J99" s="839"/>
      <c r="K99" s="732"/>
      <c r="L99" s="732"/>
      <c r="M99" s="732"/>
      <c r="N99" s="732"/>
      <c r="O99" s="840"/>
      <c r="P99" s="324"/>
      <c r="Q99" s="325"/>
    </row>
    <row r="100" spans="1:17" ht="17.25" thickBot="1">
      <c r="A100" s="841"/>
      <c r="B100" s="842"/>
      <c r="C100" s="843"/>
      <c r="D100" s="843"/>
      <c r="E100" s="843"/>
      <c r="F100" s="843"/>
      <c r="G100" s="844"/>
      <c r="H100" s="845"/>
      <c r="I100" s="846"/>
      <c r="J100" s="847"/>
      <c r="K100" s="848"/>
      <c r="L100" s="848"/>
      <c r="M100" s="848"/>
      <c r="N100" s="848"/>
      <c r="O100" s="849" t="s">
        <v>15</v>
      </c>
      <c r="P100" s="326"/>
      <c r="Q100" s="327"/>
    </row>
    <row r="101" spans="1:17" s="338" customFormat="1" ht="18" thickTop="1" thickBot="1">
      <c r="A101" s="328"/>
      <c r="B101" s="329"/>
      <c r="C101" s="330"/>
      <c r="D101" s="330"/>
      <c r="E101" s="330"/>
      <c r="F101" s="331">
        <f>SUM(F4:F100)</f>
        <v>62000</v>
      </c>
      <c r="G101" s="330" t="s">
        <v>15</v>
      </c>
      <c r="H101" s="332"/>
      <c r="I101" s="333"/>
      <c r="J101" s="333"/>
      <c r="K101" s="334"/>
      <c r="L101" s="334"/>
      <c r="M101" s="334"/>
      <c r="N101" s="335">
        <f>SUM(N4:N100)</f>
        <v>57762</v>
      </c>
      <c r="O101" s="44" t="s">
        <v>15</v>
      </c>
      <c r="P101" s="336">
        <f>+Q93+Q96</f>
        <v>5194</v>
      </c>
      <c r="Q101" s="337"/>
    </row>
    <row r="104" spans="1:17" ht="25.5">
      <c r="A104" s="967"/>
      <c r="B104" s="942" t="s">
        <v>410</v>
      </c>
      <c r="C104" s="931">
        <v>5194</v>
      </c>
      <c r="D104" s="932" t="s">
        <v>412</v>
      </c>
    </row>
    <row r="105" spans="1:17" ht="25.5">
      <c r="A105" s="967"/>
      <c r="B105" s="943" t="s">
        <v>411</v>
      </c>
      <c r="C105" s="933">
        <v>1600</v>
      </c>
      <c r="D105" s="932" t="s">
        <v>412</v>
      </c>
    </row>
    <row r="106" spans="1:17" ht="25.5">
      <c r="A106" s="967"/>
      <c r="B106" s="944" t="s">
        <v>413</v>
      </c>
      <c r="C106" s="941">
        <f>+C104-C105</f>
        <v>3594</v>
      </c>
      <c r="D106" s="932" t="s">
        <v>412</v>
      </c>
    </row>
  </sheetData>
  <mergeCells count="2">
    <mergeCell ref="H3:Q3"/>
    <mergeCell ref="A3:G3"/>
  </mergeCells>
  <phoneticPr fontId="13" type="noConversion"/>
  <pageMargins left="0.25" right="0.25" top="0.75" bottom="0.75" header="0.3" footer="0.3"/>
  <pageSetup paperSize="9" scale="7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C542-4389-4685-BEBC-63DC595D307D}">
  <sheetPr>
    <pageSetUpPr fitToPage="1"/>
  </sheetPr>
  <dimension ref="A1:Q19"/>
  <sheetViews>
    <sheetView zoomScale="80" zoomScaleNormal="80" workbookViewId="0">
      <pane xSplit="7" ySplit="2" topLeftCell="H9" activePane="bottomRight" state="frozen"/>
      <selection pane="topRight" activeCell="H1" sqref="H1"/>
      <selection pane="bottomLeft" activeCell="A5" sqref="A5"/>
      <selection pane="bottomRight" activeCell="A17" sqref="A17:E17"/>
    </sheetView>
  </sheetViews>
  <sheetFormatPr defaultColWidth="9.140625" defaultRowHeight="16.5"/>
  <cols>
    <col min="1" max="1" width="12.42578125" style="1" customWidth="1"/>
    <col min="2" max="2" width="13.28515625" style="50" customWidth="1"/>
    <col min="3" max="3" width="11" style="1" customWidth="1"/>
    <col min="4" max="4" width="12.28515625" style="5" customWidth="1"/>
    <col min="5" max="5" width="9.140625" style="1"/>
    <col min="6" max="6" width="10.5703125" style="1" bestFit="1" customWidth="1"/>
    <col min="7" max="7" width="7.28515625" style="5" customWidth="1"/>
    <col min="8" max="8" width="12.5703125" style="1" customWidth="1"/>
    <col min="9" max="9" width="12.42578125" style="5" customWidth="1"/>
    <col min="10" max="10" width="10.85546875" style="5" customWidth="1"/>
    <col min="11" max="11" width="14" style="1" customWidth="1"/>
    <col min="12" max="12" width="16.7109375" style="1" customWidth="1"/>
    <col min="13" max="13" width="11.140625" style="1" customWidth="1"/>
    <col min="14" max="14" width="10.140625" style="1" customWidth="1"/>
    <col min="15" max="15" width="7.28515625" style="5" customWidth="1"/>
    <col min="16" max="17" width="10.7109375" style="7" bestFit="1" customWidth="1"/>
    <col min="18" max="16384" width="9.140625" style="1"/>
  </cols>
  <sheetData>
    <row r="1" spans="1:17" ht="17.25" thickBot="1">
      <c r="A1" s="1" t="s">
        <v>178</v>
      </c>
      <c r="B1" s="2" t="s">
        <v>112</v>
      </c>
      <c r="D1" s="3" t="s">
        <v>179</v>
      </c>
      <c r="E1" s="4" t="s">
        <v>181</v>
      </c>
      <c r="K1" s="6"/>
    </row>
    <row r="2" spans="1:17" s="14" customFormat="1" ht="33.75" thickBot="1">
      <c r="A2" s="339" t="s">
        <v>1</v>
      </c>
      <c r="B2" s="340" t="s">
        <v>2</v>
      </c>
      <c r="C2" s="341" t="s">
        <v>3</v>
      </c>
      <c r="D2" s="341" t="s">
        <v>4</v>
      </c>
      <c r="E2" s="341" t="s">
        <v>5</v>
      </c>
      <c r="F2" s="341" t="s">
        <v>6</v>
      </c>
      <c r="G2" s="342" t="s">
        <v>7</v>
      </c>
      <c r="H2" s="8" t="s">
        <v>1</v>
      </c>
      <c r="I2" s="10" t="s">
        <v>8</v>
      </c>
      <c r="J2" s="10" t="s">
        <v>9</v>
      </c>
      <c r="K2" s="10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11" t="s">
        <v>167</v>
      </c>
      <c r="Q2" s="11" t="s">
        <v>168</v>
      </c>
    </row>
    <row r="3" spans="1:17" s="14" customFormat="1" ht="15.6" customHeight="1" thickTop="1" thickBot="1">
      <c r="A3" s="996" t="s">
        <v>0</v>
      </c>
      <c r="B3" s="997"/>
      <c r="C3" s="997"/>
      <c r="D3" s="997"/>
      <c r="E3" s="997"/>
      <c r="F3" s="997"/>
      <c r="G3" s="998"/>
      <c r="H3" s="999" t="s">
        <v>11</v>
      </c>
      <c r="I3" s="1000"/>
      <c r="J3" s="1000"/>
      <c r="K3" s="1000"/>
      <c r="L3" s="1000"/>
      <c r="M3" s="1000"/>
      <c r="N3" s="1000"/>
      <c r="O3" s="1000"/>
      <c r="P3" s="1000"/>
      <c r="Q3" s="1001"/>
    </row>
    <row r="4" spans="1:17">
      <c r="A4" s="343" t="s">
        <v>110</v>
      </c>
      <c r="B4" s="344">
        <v>44596</v>
      </c>
      <c r="C4" s="345">
        <v>205789</v>
      </c>
      <c r="D4" s="345">
        <v>1525</v>
      </c>
      <c r="E4" s="345" t="s">
        <v>14</v>
      </c>
      <c r="F4" s="346">
        <v>7000</v>
      </c>
      <c r="G4" s="347" t="s">
        <v>15</v>
      </c>
      <c r="H4" s="348" t="s">
        <v>111</v>
      </c>
      <c r="I4" s="349">
        <v>44621</v>
      </c>
      <c r="J4" s="350">
        <v>20008407</v>
      </c>
      <c r="K4" s="351" t="s">
        <v>112</v>
      </c>
      <c r="L4" s="351" t="s">
        <v>58</v>
      </c>
      <c r="M4" s="351" t="s">
        <v>113</v>
      </c>
      <c r="N4" s="352">
        <v>3000</v>
      </c>
      <c r="O4" s="353" t="s">
        <v>15</v>
      </c>
      <c r="P4" s="354"/>
      <c r="Q4" s="355"/>
    </row>
    <row r="5" spans="1:17">
      <c r="A5" s="356"/>
      <c r="B5" s="357"/>
      <c r="C5" s="358"/>
      <c r="D5" s="358"/>
      <c r="E5" s="358"/>
      <c r="F5" s="359"/>
      <c r="G5" s="360"/>
      <c r="H5" s="361" t="s">
        <v>111</v>
      </c>
      <c r="I5" s="362">
        <v>44621</v>
      </c>
      <c r="J5" s="363">
        <v>20008407</v>
      </c>
      <c r="K5" s="364" t="s">
        <v>112</v>
      </c>
      <c r="L5" s="364" t="s">
        <v>114</v>
      </c>
      <c r="M5" s="364" t="s">
        <v>115</v>
      </c>
      <c r="N5" s="365">
        <v>1500</v>
      </c>
      <c r="O5" s="366" t="s">
        <v>15</v>
      </c>
      <c r="P5" s="147"/>
      <c r="Q5" s="367"/>
    </row>
    <row r="6" spans="1:17">
      <c r="A6" s="356"/>
      <c r="B6" s="357"/>
      <c r="C6" s="358"/>
      <c r="D6" s="358"/>
      <c r="E6" s="358"/>
      <c r="F6" s="359"/>
      <c r="G6" s="360"/>
      <c r="H6" s="361" t="s">
        <v>116</v>
      </c>
      <c r="I6" s="362">
        <v>44648</v>
      </c>
      <c r="J6" s="363">
        <v>20008618</v>
      </c>
      <c r="K6" s="364" t="s">
        <v>112</v>
      </c>
      <c r="L6" s="364" t="s">
        <v>21</v>
      </c>
      <c r="M6" s="364" t="s">
        <v>117</v>
      </c>
      <c r="N6" s="365">
        <v>1500</v>
      </c>
      <c r="O6" s="366" t="s">
        <v>15</v>
      </c>
      <c r="P6" s="147"/>
      <c r="Q6" s="367"/>
    </row>
    <row r="7" spans="1:17" ht="17.25" thickBot="1">
      <c r="A7" s="368"/>
      <c r="B7" s="369"/>
      <c r="C7" s="370"/>
      <c r="D7" s="370"/>
      <c r="E7" s="370"/>
      <c r="F7" s="371"/>
      <c r="G7" s="372"/>
      <c r="H7" s="373" t="s">
        <v>36</v>
      </c>
      <c r="I7" s="374">
        <v>44670</v>
      </c>
      <c r="J7" s="375">
        <v>20008728</v>
      </c>
      <c r="K7" s="376" t="s">
        <v>112</v>
      </c>
      <c r="L7" s="376" t="s">
        <v>58</v>
      </c>
      <c r="M7" s="376" t="s">
        <v>113</v>
      </c>
      <c r="N7" s="377">
        <v>1500</v>
      </c>
      <c r="O7" s="378" t="s">
        <v>15</v>
      </c>
      <c r="P7" s="379">
        <f>SUM(N4:N7)</f>
        <v>7500</v>
      </c>
      <c r="Q7" s="380">
        <f>P7-F4</f>
        <v>500</v>
      </c>
    </row>
    <row r="8" spans="1:17">
      <c r="A8" s="381" t="s">
        <v>118</v>
      </c>
      <c r="B8" s="382">
        <v>44701</v>
      </c>
      <c r="C8" s="383">
        <v>205789</v>
      </c>
      <c r="D8" s="383">
        <v>1525</v>
      </c>
      <c r="E8" s="383" t="s">
        <v>14</v>
      </c>
      <c r="F8" s="384">
        <v>3000</v>
      </c>
      <c r="G8" s="385" t="s">
        <v>15</v>
      </c>
      <c r="H8" s="386" t="s">
        <v>119</v>
      </c>
      <c r="I8" s="387">
        <v>44764</v>
      </c>
      <c r="J8" s="388">
        <v>20009251</v>
      </c>
      <c r="K8" s="389" t="s">
        <v>112</v>
      </c>
      <c r="L8" s="389" t="s">
        <v>21</v>
      </c>
      <c r="M8" s="389" t="s">
        <v>117</v>
      </c>
      <c r="N8" s="390">
        <v>711</v>
      </c>
      <c r="O8" s="391" t="s">
        <v>15</v>
      </c>
      <c r="P8" s="392"/>
      <c r="Q8" s="299"/>
    </row>
    <row r="9" spans="1:17">
      <c r="A9" s="393"/>
      <c r="B9" s="394"/>
      <c r="C9" s="395"/>
      <c r="D9" s="395"/>
      <c r="E9" s="395"/>
      <c r="F9" s="396"/>
      <c r="G9" s="397"/>
      <c r="H9" s="398" t="s">
        <v>119</v>
      </c>
      <c r="I9" s="399">
        <v>44764</v>
      </c>
      <c r="J9" s="400">
        <v>20009251</v>
      </c>
      <c r="K9" s="401" t="s">
        <v>112</v>
      </c>
      <c r="L9" s="401" t="s">
        <v>58</v>
      </c>
      <c r="M9" s="401" t="s">
        <v>113</v>
      </c>
      <c r="N9" s="402">
        <v>1400</v>
      </c>
      <c r="O9" s="403" t="s">
        <v>15</v>
      </c>
      <c r="P9" s="404"/>
      <c r="Q9" s="310"/>
    </row>
    <row r="10" spans="1:17" ht="17.25" thickBot="1">
      <c r="A10" s="405"/>
      <c r="B10" s="406"/>
      <c r="C10" s="407"/>
      <c r="D10" s="407"/>
      <c r="E10" s="407"/>
      <c r="F10" s="408"/>
      <c r="G10" s="409"/>
      <c r="H10" s="315" t="s">
        <v>119</v>
      </c>
      <c r="I10" s="316">
        <v>44764</v>
      </c>
      <c r="J10" s="317">
        <v>20009251</v>
      </c>
      <c r="K10" s="318" t="s">
        <v>112</v>
      </c>
      <c r="L10" s="318" t="s">
        <v>114</v>
      </c>
      <c r="M10" s="318" t="s">
        <v>115</v>
      </c>
      <c r="N10" s="410">
        <v>711</v>
      </c>
      <c r="O10" s="411" t="s">
        <v>15</v>
      </c>
      <c r="P10" s="412">
        <f>SUM(N8:N10)</f>
        <v>2822</v>
      </c>
      <c r="Q10" s="321">
        <f>P10-F8</f>
        <v>-178</v>
      </c>
    </row>
    <row r="11" spans="1:17">
      <c r="A11" s="413" t="s">
        <v>120</v>
      </c>
      <c r="B11" s="414">
        <v>44936</v>
      </c>
      <c r="C11" s="415">
        <v>205789</v>
      </c>
      <c r="D11" s="415">
        <v>1525</v>
      </c>
      <c r="E11" s="415" t="s">
        <v>121</v>
      </c>
      <c r="F11" s="416">
        <v>2000</v>
      </c>
      <c r="G11" s="417" t="s">
        <v>15</v>
      </c>
      <c r="H11" s="418" t="s">
        <v>64</v>
      </c>
      <c r="I11" s="419">
        <v>45049</v>
      </c>
      <c r="J11" s="420">
        <v>20010638</v>
      </c>
      <c r="K11" s="421" t="s">
        <v>112</v>
      </c>
      <c r="L11" s="422" t="s">
        <v>21</v>
      </c>
      <c r="M11" s="422" t="s">
        <v>117</v>
      </c>
      <c r="N11" s="423">
        <v>711</v>
      </c>
      <c r="O11" s="424" t="s">
        <v>15</v>
      </c>
      <c r="P11" s="425"/>
      <c r="Q11" s="426"/>
    </row>
    <row r="12" spans="1:17">
      <c r="A12" s="427"/>
      <c r="B12" s="428"/>
      <c r="C12" s="429"/>
      <c r="D12" s="429"/>
      <c r="E12" s="429"/>
      <c r="F12" s="430"/>
      <c r="G12" s="431"/>
      <c r="H12" s="432" t="s">
        <v>64</v>
      </c>
      <c r="I12" s="433">
        <v>45049</v>
      </c>
      <c r="J12" s="434">
        <v>20010638</v>
      </c>
      <c r="K12" s="435" t="s">
        <v>112</v>
      </c>
      <c r="L12" s="436" t="s">
        <v>122</v>
      </c>
      <c r="M12" s="436" t="s">
        <v>123</v>
      </c>
      <c r="N12" s="437">
        <v>711</v>
      </c>
      <c r="O12" s="438" t="s">
        <v>15</v>
      </c>
      <c r="P12" s="439"/>
      <c r="Q12" s="440"/>
    </row>
    <row r="13" spans="1:17" ht="17.25" thickBot="1">
      <c r="A13" s="441"/>
      <c r="B13" s="442"/>
      <c r="C13" s="443"/>
      <c r="D13" s="443"/>
      <c r="E13" s="443"/>
      <c r="F13" s="444"/>
      <c r="G13" s="445"/>
      <c r="H13" s="446" t="s">
        <v>124</v>
      </c>
      <c r="I13" s="447">
        <v>45125</v>
      </c>
      <c r="J13" s="448">
        <v>20011024</v>
      </c>
      <c r="K13" s="449" t="s">
        <v>112</v>
      </c>
      <c r="L13" s="450" t="s">
        <v>21</v>
      </c>
      <c r="M13" s="450" t="s">
        <v>117</v>
      </c>
      <c r="N13" s="451">
        <v>711</v>
      </c>
      <c r="O13" s="452" t="s">
        <v>15</v>
      </c>
      <c r="P13" s="453">
        <f>SUM(N11:N13)</f>
        <v>2133</v>
      </c>
      <c r="Q13" s="454">
        <f>P13-F11</f>
        <v>133</v>
      </c>
    </row>
    <row r="14" spans="1:17">
      <c r="A14" s="455" t="s">
        <v>125</v>
      </c>
      <c r="B14" s="456">
        <v>45126</v>
      </c>
      <c r="C14" s="457">
        <v>205789</v>
      </c>
      <c r="D14" s="457">
        <v>1525</v>
      </c>
      <c r="E14" s="457" t="s">
        <v>121</v>
      </c>
      <c r="F14" s="458">
        <v>3000</v>
      </c>
      <c r="G14" s="459" t="s">
        <v>15</v>
      </c>
      <c r="H14" s="460" t="s">
        <v>124</v>
      </c>
      <c r="I14" s="461">
        <v>45125</v>
      </c>
      <c r="J14" s="462">
        <v>20011024</v>
      </c>
      <c r="K14" s="463" t="s">
        <v>112</v>
      </c>
      <c r="L14" s="464" t="s">
        <v>122</v>
      </c>
      <c r="M14" s="464" t="s">
        <v>123</v>
      </c>
      <c r="N14" s="465">
        <v>711</v>
      </c>
      <c r="O14" s="466" t="s">
        <v>15</v>
      </c>
      <c r="P14" s="467">
        <f>+N14+N15+N16+N17</f>
        <v>2844</v>
      </c>
      <c r="Q14" s="468">
        <f>+F14-P14</f>
        <v>156</v>
      </c>
    </row>
    <row r="15" spans="1:17">
      <c r="A15" s="469"/>
      <c r="B15" s="456"/>
      <c r="C15" s="457"/>
      <c r="D15" s="457"/>
      <c r="E15" s="457"/>
      <c r="F15" s="458"/>
      <c r="G15" s="459"/>
      <c r="H15" s="470" t="s">
        <v>126</v>
      </c>
      <c r="I15" s="471">
        <v>45573</v>
      </c>
      <c r="J15" s="472">
        <v>20013225</v>
      </c>
      <c r="K15" s="473" t="s">
        <v>112</v>
      </c>
      <c r="L15" s="474" t="s">
        <v>127</v>
      </c>
      <c r="M15" s="474" t="s">
        <v>123</v>
      </c>
      <c r="N15" s="475">
        <v>711</v>
      </c>
      <c r="O15" s="476" t="s">
        <v>15</v>
      </c>
      <c r="P15" s="477"/>
      <c r="Q15" s="478"/>
    </row>
    <row r="16" spans="1:17">
      <c r="A16" s="479"/>
      <c r="B16" s="480"/>
      <c r="C16" s="481"/>
      <c r="D16" s="481"/>
      <c r="E16" s="473"/>
      <c r="F16" s="482"/>
      <c r="G16" s="483"/>
      <c r="H16" s="484" t="s">
        <v>337</v>
      </c>
      <c r="I16" s="485">
        <v>46147</v>
      </c>
      <c r="J16" s="486">
        <v>20015826</v>
      </c>
      <c r="K16" s="473" t="s">
        <v>112</v>
      </c>
      <c r="L16" s="488" t="s">
        <v>21</v>
      </c>
      <c r="M16" s="488" t="s">
        <v>336</v>
      </c>
      <c r="N16" s="489">
        <v>711</v>
      </c>
      <c r="O16" s="490" t="s">
        <v>15</v>
      </c>
      <c r="P16" s="491"/>
      <c r="Q16" s="492"/>
    </row>
    <row r="17" spans="1:17" ht="19.5">
      <c r="A17" s="968"/>
      <c r="B17" s="969"/>
      <c r="C17" s="970"/>
      <c r="D17" s="971"/>
      <c r="E17" s="18"/>
      <c r="F17" s="482"/>
      <c r="G17" s="483"/>
      <c r="H17" s="484" t="s">
        <v>402</v>
      </c>
      <c r="I17" s="485">
        <v>46217</v>
      </c>
      <c r="J17" s="486">
        <v>20016304</v>
      </c>
      <c r="K17" s="487" t="s">
        <v>112</v>
      </c>
      <c r="L17" s="488" t="s">
        <v>400</v>
      </c>
      <c r="M17" s="488" t="s">
        <v>401</v>
      </c>
      <c r="N17" s="489">
        <v>711</v>
      </c>
      <c r="O17" s="490" t="s">
        <v>15</v>
      </c>
      <c r="P17" s="491"/>
      <c r="Q17" s="492"/>
    </row>
    <row r="18" spans="1:17" ht="17.25" thickBot="1">
      <c r="A18" s="493"/>
      <c r="B18" s="494"/>
      <c r="C18" s="495"/>
      <c r="D18" s="495"/>
      <c r="E18" s="496"/>
      <c r="F18" s="497"/>
      <c r="G18" s="498"/>
      <c r="H18" s="499"/>
      <c r="I18" s="500"/>
      <c r="J18" s="501"/>
      <c r="K18" s="502"/>
      <c r="L18" s="502"/>
      <c r="M18" s="502"/>
      <c r="N18" s="503"/>
      <c r="O18" s="504"/>
      <c r="P18" s="505"/>
      <c r="Q18" s="506"/>
    </row>
    <row r="19" spans="1:17" ht="18" thickTop="1" thickBot="1">
      <c r="A19" s="39"/>
      <c r="B19" s="40"/>
      <c r="C19" s="41"/>
      <c r="D19" s="41"/>
      <c r="E19" s="42"/>
      <c r="F19" s="43">
        <f>SUM(F4:F18)</f>
        <v>15000</v>
      </c>
      <c r="G19" s="44" t="s">
        <v>15</v>
      </c>
      <c r="H19" s="45"/>
      <c r="I19" s="46"/>
      <c r="J19" s="46"/>
      <c r="K19" s="47"/>
      <c r="L19" s="47"/>
      <c r="M19" s="47"/>
      <c r="N19" s="48">
        <f>SUM(N4:N18)</f>
        <v>15299</v>
      </c>
      <c r="O19" s="507" t="s">
        <v>15</v>
      </c>
      <c r="P19" s="49"/>
      <c r="Q19" s="897">
        <f>+Q14</f>
        <v>156</v>
      </c>
    </row>
  </sheetData>
  <mergeCells count="2">
    <mergeCell ref="A3:G3"/>
    <mergeCell ref="H3:Q3"/>
  </mergeCells>
  <pageMargins left="0.25" right="0.25" top="0.75" bottom="0.75" header="0.3" footer="0.3"/>
  <pageSetup paperSize="9" scale="7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8F8D-1400-4023-9793-12332374ED83}">
  <sheetPr>
    <pageSetUpPr fitToPage="1"/>
  </sheetPr>
  <dimension ref="A1:R90"/>
  <sheetViews>
    <sheetView zoomScale="80" zoomScaleNormal="80" workbookViewId="0">
      <pane xSplit="7" ySplit="2" topLeftCell="H68" activePane="bottomRight" state="frozen"/>
      <selection pane="topRight" activeCell="H1" sqref="H1"/>
      <selection pane="bottomLeft" activeCell="A5" sqref="A5"/>
      <selection pane="bottomRight" activeCell="D90" sqref="D90"/>
    </sheetView>
  </sheetViews>
  <sheetFormatPr defaultColWidth="9.140625" defaultRowHeight="16.5"/>
  <cols>
    <col min="1" max="1" width="15.42578125" style="660" customWidth="1"/>
    <col min="2" max="2" width="13.28515625" style="674" customWidth="1"/>
    <col min="3" max="3" width="22.5703125" style="660" customWidth="1"/>
    <col min="4" max="4" width="16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2.42578125" style="664" customWidth="1"/>
    <col min="10" max="11" width="10.85546875" style="664" customWidth="1"/>
    <col min="12" max="12" width="14" style="660" customWidth="1"/>
    <col min="13" max="13" width="20.7109375" style="660" customWidth="1"/>
    <col min="14" max="14" width="11.140625" style="660" customWidth="1"/>
    <col min="15" max="15" width="10.140625" style="660" customWidth="1"/>
    <col min="16" max="16" width="7.28515625" style="664" customWidth="1"/>
    <col min="17" max="17" width="12" style="666" customWidth="1"/>
    <col min="18" max="18" width="10.7109375" style="666" bestFit="1" customWidth="1"/>
    <col min="19" max="16384" width="9.140625" style="660"/>
  </cols>
  <sheetData>
    <row r="1" spans="1:18" ht="17.25" thickBot="1">
      <c r="A1" s="660" t="s">
        <v>178</v>
      </c>
      <c r="B1" s="661" t="s">
        <v>144</v>
      </c>
      <c r="D1" s="662" t="s">
        <v>179</v>
      </c>
      <c r="E1" s="663" t="s">
        <v>182</v>
      </c>
      <c r="L1" s="665"/>
    </row>
    <row r="2" spans="1:18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0" t="s">
        <v>217</v>
      </c>
      <c r="L2" s="10" t="s">
        <v>3</v>
      </c>
      <c r="M2" s="10" t="s">
        <v>5</v>
      </c>
      <c r="N2" s="10" t="s">
        <v>10</v>
      </c>
      <c r="O2" s="10" t="s">
        <v>6</v>
      </c>
      <c r="P2" s="11" t="s">
        <v>7</v>
      </c>
      <c r="Q2" s="8" t="s">
        <v>142</v>
      </c>
      <c r="R2" s="13" t="s">
        <v>168</v>
      </c>
    </row>
    <row r="3" spans="1:18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8"/>
      <c r="R3" s="989"/>
    </row>
    <row r="4" spans="1:18" ht="12.95" customHeight="1" thickTop="1">
      <c r="A4" s="509" t="s">
        <v>143</v>
      </c>
      <c r="B4" s="510">
        <v>45072</v>
      </c>
      <c r="C4" s="511">
        <v>207145</v>
      </c>
      <c r="D4" s="511">
        <v>2390</v>
      </c>
      <c r="E4" s="512" t="s">
        <v>14</v>
      </c>
      <c r="F4" s="513">
        <v>5000</v>
      </c>
      <c r="G4" s="514" t="s">
        <v>15</v>
      </c>
      <c r="H4" s="515" t="s">
        <v>86</v>
      </c>
      <c r="I4" s="516">
        <v>45249</v>
      </c>
      <c r="J4" s="517">
        <v>20011546</v>
      </c>
      <c r="K4" s="517">
        <v>2390</v>
      </c>
      <c r="L4" s="518" t="s">
        <v>144</v>
      </c>
      <c r="M4" s="518" t="s">
        <v>122</v>
      </c>
      <c r="N4" s="518" t="s">
        <v>145</v>
      </c>
      <c r="O4" s="519">
        <v>1000</v>
      </c>
      <c r="P4" s="520" t="s">
        <v>15</v>
      </c>
      <c r="Q4" s="521"/>
      <c r="R4" s="522"/>
    </row>
    <row r="5" spans="1:18" ht="12.95" customHeight="1">
      <c r="A5" s="523"/>
      <c r="B5" s="524"/>
      <c r="C5" s="525" t="s">
        <v>166</v>
      </c>
      <c r="D5" s="526"/>
      <c r="E5" s="527"/>
      <c r="F5" s="528"/>
      <c r="G5" s="529"/>
      <c r="H5" s="530" t="s">
        <v>87</v>
      </c>
      <c r="I5" s="531">
        <v>45260</v>
      </c>
      <c r="J5" s="532">
        <v>20011615</v>
      </c>
      <c r="K5" s="532">
        <v>2390</v>
      </c>
      <c r="L5" s="533" t="s">
        <v>144</v>
      </c>
      <c r="M5" s="533" t="s">
        <v>21</v>
      </c>
      <c r="N5" s="533" t="s">
        <v>146</v>
      </c>
      <c r="O5" s="534">
        <v>500</v>
      </c>
      <c r="P5" s="535" t="s">
        <v>15</v>
      </c>
      <c r="Q5" s="536"/>
      <c r="R5" s="537"/>
    </row>
    <row r="6" spans="1:18" ht="12.95" customHeight="1">
      <c r="A6" s="538"/>
      <c r="B6" s="524"/>
      <c r="C6" s="526"/>
      <c r="D6" s="526"/>
      <c r="E6" s="527"/>
      <c r="F6" s="528"/>
      <c r="G6" s="529"/>
      <c r="H6" s="530" t="s">
        <v>87</v>
      </c>
      <c r="I6" s="531">
        <v>45260</v>
      </c>
      <c r="J6" s="532">
        <v>20011615</v>
      </c>
      <c r="K6" s="532">
        <v>2390</v>
      </c>
      <c r="L6" s="533" t="s">
        <v>144</v>
      </c>
      <c r="M6" s="533" t="s">
        <v>30</v>
      </c>
      <c r="N6" s="533" t="s">
        <v>147</v>
      </c>
      <c r="O6" s="534">
        <v>500</v>
      </c>
      <c r="P6" s="535" t="s">
        <v>15</v>
      </c>
      <c r="Q6" s="536"/>
      <c r="R6" s="537"/>
    </row>
    <row r="7" spans="1:18" ht="12.95" customHeight="1">
      <c r="A7" s="538"/>
      <c r="B7" s="524"/>
      <c r="C7" s="526"/>
      <c r="D7" s="526"/>
      <c r="E7" s="527"/>
      <c r="F7" s="528"/>
      <c r="G7" s="529"/>
      <c r="H7" s="164" t="s">
        <v>148</v>
      </c>
      <c r="I7" s="165">
        <v>45412</v>
      </c>
      <c r="J7" s="166">
        <v>20012347</v>
      </c>
      <c r="K7" s="166">
        <v>2390</v>
      </c>
      <c r="L7" s="533" t="s">
        <v>144</v>
      </c>
      <c r="M7" s="167" t="s">
        <v>21</v>
      </c>
      <c r="N7" s="167" t="s">
        <v>146</v>
      </c>
      <c r="O7" s="539">
        <v>500</v>
      </c>
      <c r="P7" s="540" t="s">
        <v>15</v>
      </c>
      <c r="Q7" s="536"/>
      <c r="R7" s="537"/>
    </row>
    <row r="8" spans="1:18" ht="12.95" customHeight="1">
      <c r="A8" s="538"/>
      <c r="B8" s="524"/>
      <c r="C8" s="526"/>
      <c r="D8" s="526"/>
      <c r="E8" s="527"/>
      <c r="F8" s="528"/>
      <c r="G8" s="529"/>
      <c r="H8" s="164" t="s">
        <v>148</v>
      </c>
      <c r="I8" s="165">
        <v>45412</v>
      </c>
      <c r="J8" s="166">
        <v>20012347</v>
      </c>
      <c r="K8" s="166">
        <v>2390</v>
      </c>
      <c r="L8" s="533" t="s">
        <v>144</v>
      </c>
      <c r="M8" s="167" t="s">
        <v>122</v>
      </c>
      <c r="N8" s="167" t="s">
        <v>145</v>
      </c>
      <c r="O8" s="539">
        <v>500</v>
      </c>
      <c r="P8" s="540" t="s">
        <v>15</v>
      </c>
      <c r="Q8" s="536"/>
      <c r="R8" s="537"/>
    </row>
    <row r="9" spans="1:18" ht="12.95" customHeight="1">
      <c r="A9" s="538"/>
      <c r="B9" s="524"/>
      <c r="C9" s="526"/>
      <c r="D9" s="526"/>
      <c r="E9" s="527"/>
      <c r="F9" s="528"/>
      <c r="G9" s="529"/>
      <c r="H9" s="164" t="s">
        <v>148</v>
      </c>
      <c r="I9" s="165">
        <v>45412</v>
      </c>
      <c r="J9" s="166">
        <v>20012347</v>
      </c>
      <c r="K9" s="166">
        <v>2390</v>
      </c>
      <c r="L9" s="533" t="s">
        <v>144</v>
      </c>
      <c r="M9" s="167" t="s">
        <v>30</v>
      </c>
      <c r="N9" s="167" t="s">
        <v>147</v>
      </c>
      <c r="O9" s="539">
        <v>500</v>
      </c>
      <c r="P9" s="540" t="s">
        <v>15</v>
      </c>
      <c r="Q9" s="536"/>
      <c r="R9" s="537"/>
    </row>
    <row r="10" spans="1:18" ht="12.95" customHeight="1">
      <c r="A10" s="538"/>
      <c r="B10" s="524"/>
      <c r="C10" s="526"/>
      <c r="D10" s="526"/>
      <c r="E10" s="527"/>
      <c r="F10" s="528"/>
      <c r="G10" s="529"/>
      <c r="H10" s="164" t="s">
        <v>149</v>
      </c>
      <c r="I10" s="165">
        <v>45443</v>
      </c>
      <c r="J10" s="166">
        <v>20012564</v>
      </c>
      <c r="K10" s="166">
        <v>2390</v>
      </c>
      <c r="L10" s="167" t="s">
        <v>144</v>
      </c>
      <c r="M10" s="167" t="s">
        <v>21</v>
      </c>
      <c r="N10" s="167" t="s">
        <v>146</v>
      </c>
      <c r="O10" s="539">
        <v>500</v>
      </c>
      <c r="P10" s="540" t="s">
        <v>15</v>
      </c>
      <c r="Q10" s="536"/>
      <c r="R10" s="537"/>
    </row>
    <row r="11" spans="1:18" ht="12.95" customHeight="1">
      <c r="A11" s="538"/>
      <c r="B11" s="524"/>
      <c r="C11" s="526"/>
      <c r="D11" s="526"/>
      <c r="E11" s="527"/>
      <c r="F11" s="528"/>
      <c r="G11" s="529"/>
      <c r="H11" s="530" t="s">
        <v>149</v>
      </c>
      <c r="I11" s="531">
        <v>45443</v>
      </c>
      <c r="J11" s="532">
        <v>20012564</v>
      </c>
      <c r="K11" s="532">
        <v>2390</v>
      </c>
      <c r="L11" s="533" t="s">
        <v>144</v>
      </c>
      <c r="M11" s="533" t="s">
        <v>122</v>
      </c>
      <c r="N11" s="533" t="s">
        <v>145</v>
      </c>
      <c r="O11" s="534">
        <v>500</v>
      </c>
      <c r="P11" s="535" t="s">
        <v>15</v>
      </c>
      <c r="Q11" s="536"/>
      <c r="R11" s="537"/>
    </row>
    <row r="12" spans="1:18" ht="12.95" customHeight="1" thickBot="1">
      <c r="A12" s="541"/>
      <c r="B12" s="542"/>
      <c r="C12" s="543"/>
      <c r="D12" s="543"/>
      <c r="E12" s="544"/>
      <c r="F12" s="545"/>
      <c r="G12" s="546"/>
      <c r="H12" s="547" t="s">
        <v>150</v>
      </c>
      <c r="I12" s="548">
        <v>45468</v>
      </c>
      <c r="J12" s="543">
        <v>20012728</v>
      </c>
      <c r="K12" s="543">
        <v>2390</v>
      </c>
      <c r="L12" s="544" t="s">
        <v>144</v>
      </c>
      <c r="M12" s="544" t="s">
        <v>21</v>
      </c>
      <c r="N12" s="544" t="s">
        <v>146</v>
      </c>
      <c r="O12" s="549">
        <v>500</v>
      </c>
      <c r="P12" s="550" t="s">
        <v>15</v>
      </c>
      <c r="Q12" s="779">
        <f>SUM(O4:O12)</f>
        <v>5000</v>
      </c>
      <c r="R12" s="780">
        <f>Q12-F4</f>
        <v>0</v>
      </c>
    </row>
    <row r="13" spans="1:18" ht="12.6" customHeight="1" thickTop="1">
      <c r="A13" s="551" t="s">
        <v>151</v>
      </c>
      <c r="B13" s="552">
        <v>45447</v>
      </c>
      <c r="C13" s="553">
        <v>207145</v>
      </c>
      <c r="D13" s="553">
        <v>2390</v>
      </c>
      <c r="E13" s="554" t="s">
        <v>14</v>
      </c>
      <c r="F13" s="555">
        <v>5000</v>
      </c>
      <c r="G13" s="556" t="s">
        <v>15</v>
      </c>
      <c r="H13" s="557" t="s">
        <v>150</v>
      </c>
      <c r="I13" s="558">
        <v>45468</v>
      </c>
      <c r="J13" s="559">
        <v>20012728</v>
      </c>
      <c r="K13" s="559">
        <v>2390</v>
      </c>
      <c r="L13" s="560" t="s">
        <v>144</v>
      </c>
      <c r="M13" s="560" t="s">
        <v>122</v>
      </c>
      <c r="N13" s="560" t="s">
        <v>145</v>
      </c>
      <c r="O13" s="561">
        <v>500</v>
      </c>
      <c r="P13" s="562" t="s">
        <v>15</v>
      </c>
      <c r="Q13" s="781"/>
      <c r="R13" s="782"/>
    </row>
    <row r="14" spans="1:18" ht="12.6" customHeight="1">
      <c r="A14" s="551"/>
      <c r="B14" s="552"/>
      <c r="C14" s="553"/>
      <c r="D14" s="553"/>
      <c r="E14" s="554"/>
      <c r="F14" s="555"/>
      <c r="G14" s="556"/>
      <c r="H14" s="563" t="s">
        <v>104</v>
      </c>
      <c r="I14" s="564">
        <v>45468</v>
      </c>
      <c r="J14" s="553">
        <v>20012714</v>
      </c>
      <c r="K14" s="553">
        <v>2390</v>
      </c>
      <c r="L14" s="554" t="s">
        <v>144</v>
      </c>
      <c r="M14" s="554" t="s">
        <v>21</v>
      </c>
      <c r="N14" s="554" t="s">
        <v>146</v>
      </c>
      <c r="O14" s="565">
        <v>500</v>
      </c>
      <c r="P14" s="566" t="s">
        <v>15</v>
      </c>
      <c r="Q14" s="783"/>
      <c r="R14" s="784"/>
    </row>
    <row r="15" spans="1:18" ht="12.6" customHeight="1">
      <c r="A15" s="551"/>
      <c r="B15" s="552"/>
      <c r="C15" s="553"/>
      <c r="D15" s="553"/>
      <c r="E15" s="554"/>
      <c r="F15" s="555"/>
      <c r="G15" s="556"/>
      <c r="H15" s="567" t="s">
        <v>104</v>
      </c>
      <c r="I15" s="568">
        <v>45468</v>
      </c>
      <c r="J15" s="569">
        <v>20012714</v>
      </c>
      <c r="K15" s="569">
        <v>2390</v>
      </c>
      <c r="L15" s="570" t="s">
        <v>144</v>
      </c>
      <c r="M15" s="570" t="s">
        <v>122</v>
      </c>
      <c r="N15" s="570" t="s">
        <v>145</v>
      </c>
      <c r="O15" s="571">
        <v>500</v>
      </c>
      <c r="P15" s="572" t="s">
        <v>15</v>
      </c>
      <c r="Q15" s="783"/>
      <c r="R15" s="784"/>
    </row>
    <row r="16" spans="1:18" ht="12.6" customHeight="1">
      <c r="A16" s="551"/>
      <c r="B16" s="552"/>
      <c r="C16" s="553"/>
      <c r="D16" s="553"/>
      <c r="E16" s="554"/>
      <c r="F16" s="555"/>
      <c r="G16" s="556"/>
      <c r="H16" s="567" t="s">
        <v>104</v>
      </c>
      <c r="I16" s="568">
        <v>45468</v>
      </c>
      <c r="J16" s="569">
        <v>20012714</v>
      </c>
      <c r="K16" s="569">
        <v>2390</v>
      </c>
      <c r="L16" s="570" t="s">
        <v>144</v>
      </c>
      <c r="M16" s="570" t="s">
        <v>30</v>
      </c>
      <c r="N16" s="570" t="s">
        <v>147</v>
      </c>
      <c r="O16" s="571">
        <v>500</v>
      </c>
      <c r="P16" s="572" t="s">
        <v>15</v>
      </c>
      <c r="Q16" s="783"/>
      <c r="R16" s="784"/>
    </row>
    <row r="17" spans="1:18" ht="12.6" customHeight="1">
      <c r="A17" s="551"/>
      <c r="B17" s="552"/>
      <c r="C17" s="553"/>
      <c r="D17" s="553"/>
      <c r="E17" s="554"/>
      <c r="F17" s="555"/>
      <c r="G17" s="556"/>
      <c r="H17" s="567" t="s">
        <v>150</v>
      </c>
      <c r="I17" s="568">
        <v>45468</v>
      </c>
      <c r="J17" s="569">
        <v>20012728</v>
      </c>
      <c r="K17" s="569">
        <v>2390</v>
      </c>
      <c r="L17" s="570" t="s">
        <v>144</v>
      </c>
      <c r="M17" s="570" t="s">
        <v>21</v>
      </c>
      <c r="N17" s="570" t="s">
        <v>146</v>
      </c>
      <c r="O17" s="571">
        <v>500</v>
      </c>
      <c r="P17" s="572" t="s">
        <v>15</v>
      </c>
      <c r="Q17" s="783"/>
      <c r="R17" s="784"/>
    </row>
    <row r="18" spans="1:18" ht="12.6" customHeight="1">
      <c r="A18" s="551"/>
      <c r="B18" s="552"/>
      <c r="C18" s="553"/>
      <c r="D18" s="553"/>
      <c r="E18" s="554"/>
      <c r="F18" s="555"/>
      <c r="G18" s="556"/>
      <c r="H18" s="567" t="s">
        <v>150</v>
      </c>
      <c r="I18" s="568">
        <v>45468</v>
      </c>
      <c r="J18" s="569">
        <v>20012728</v>
      </c>
      <c r="K18" s="569">
        <v>2390</v>
      </c>
      <c r="L18" s="570" t="s">
        <v>144</v>
      </c>
      <c r="M18" s="570" t="s">
        <v>122</v>
      </c>
      <c r="N18" s="570" t="s">
        <v>145</v>
      </c>
      <c r="O18" s="571">
        <v>500</v>
      </c>
      <c r="P18" s="572" t="s">
        <v>15</v>
      </c>
      <c r="Q18" s="783"/>
      <c r="R18" s="784"/>
    </row>
    <row r="19" spans="1:18" ht="12.6" customHeight="1">
      <c r="A19" s="551"/>
      <c r="B19" s="552"/>
      <c r="C19" s="553"/>
      <c r="D19" s="553"/>
      <c r="E19" s="554"/>
      <c r="F19" s="555"/>
      <c r="G19" s="556"/>
      <c r="H19" s="567" t="s">
        <v>152</v>
      </c>
      <c r="I19" s="568">
        <v>45503</v>
      </c>
      <c r="J19" s="569">
        <v>20012925</v>
      </c>
      <c r="K19" s="569">
        <v>2390</v>
      </c>
      <c r="L19" s="570" t="s">
        <v>144</v>
      </c>
      <c r="M19" s="570" t="s">
        <v>30</v>
      </c>
      <c r="N19" s="570" t="s">
        <v>147</v>
      </c>
      <c r="O19" s="571">
        <v>500</v>
      </c>
      <c r="P19" s="572" t="s">
        <v>15</v>
      </c>
      <c r="Q19" s="783"/>
      <c r="R19" s="784"/>
    </row>
    <row r="20" spans="1:18" ht="12.6" customHeight="1">
      <c r="A20" s="551"/>
      <c r="B20" s="552"/>
      <c r="C20" s="553"/>
      <c r="D20" s="553"/>
      <c r="E20" s="554"/>
      <c r="F20" s="555"/>
      <c r="G20" s="556"/>
      <c r="H20" s="567" t="s">
        <v>164</v>
      </c>
      <c r="I20" s="568">
        <v>45601</v>
      </c>
      <c r="J20" s="569">
        <v>20013358</v>
      </c>
      <c r="K20" s="569">
        <v>2390</v>
      </c>
      <c r="L20" s="570" t="s">
        <v>144</v>
      </c>
      <c r="M20" s="570" t="s">
        <v>127</v>
      </c>
      <c r="N20" s="570" t="s">
        <v>145</v>
      </c>
      <c r="O20" s="571">
        <v>500</v>
      </c>
      <c r="P20" s="572" t="s">
        <v>15</v>
      </c>
      <c r="Q20" s="785"/>
      <c r="R20" s="786"/>
    </row>
    <row r="21" spans="1:18" ht="12.6" customHeight="1">
      <c r="A21" s="551"/>
      <c r="B21" s="552"/>
      <c r="C21" s="553"/>
      <c r="D21" s="553"/>
      <c r="E21" s="554"/>
      <c r="F21" s="555"/>
      <c r="G21" s="556"/>
      <c r="H21" s="567" t="s">
        <v>165</v>
      </c>
      <c r="I21" s="568">
        <v>45615</v>
      </c>
      <c r="J21" s="569">
        <v>20013432</v>
      </c>
      <c r="K21" s="569">
        <v>2390</v>
      </c>
      <c r="L21" s="570" t="s">
        <v>144</v>
      </c>
      <c r="M21" s="570" t="s">
        <v>30</v>
      </c>
      <c r="N21" s="570" t="s">
        <v>147</v>
      </c>
      <c r="O21" s="571">
        <v>500</v>
      </c>
      <c r="P21" s="572" t="s">
        <v>15</v>
      </c>
      <c r="Q21" s="785"/>
      <c r="R21" s="786"/>
    </row>
    <row r="22" spans="1:18" ht="12.6" customHeight="1" thickBot="1">
      <c r="A22" s="573"/>
      <c r="B22" s="574"/>
      <c r="C22" s="575"/>
      <c r="D22" s="575"/>
      <c r="E22" s="576"/>
      <c r="F22" s="577"/>
      <c r="G22" s="578"/>
      <c r="H22" s="579" t="s">
        <v>172</v>
      </c>
      <c r="I22" s="580">
        <v>45625</v>
      </c>
      <c r="J22" s="581">
        <v>20013469</v>
      </c>
      <c r="K22" s="581">
        <v>2390</v>
      </c>
      <c r="L22" s="582" t="s">
        <v>144</v>
      </c>
      <c r="M22" s="582" t="s">
        <v>21</v>
      </c>
      <c r="N22" s="582" t="s">
        <v>146</v>
      </c>
      <c r="O22" s="583">
        <v>500</v>
      </c>
      <c r="P22" s="584" t="s">
        <v>15</v>
      </c>
      <c r="Q22" s="787">
        <f>SUM(O13:O22)</f>
        <v>5000</v>
      </c>
      <c r="R22" s="788" t="s">
        <v>175</v>
      </c>
    </row>
    <row r="23" spans="1:18" ht="12.6" customHeight="1" thickTop="1">
      <c r="A23" s="585" t="s">
        <v>153</v>
      </c>
      <c r="B23" s="586">
        <v>45532</v>
      </c>
      <c r="C23" s="587">
        <v>207145</v>
      </c>
      <c r="D23" s="587">
        <v>2390</v>
      </c>
      <c r="E23" s="588" t="s">
        <v>14</v>
      </c>
      <c r="F23" s="589">
        <v>5000</v>
      </c>
      <c r="G23" s="590" t="s">
        <v>15</v>
      </c>
      <c r="H23" s="591" t="s">
        <v>172</v>
      </c>
      <c r="I23" s="592">
        <v>45625</v>
      </c>
      <c r="J23" s="587">
        <v>20013469</v>
      </c>
      <c r="K23" s="587">
        <v>2390</v>
      </c>
      <c r="L23" s="588" t="s">
        <v>144</v>
      </c>
      <c r="M23" s="588" t="s">
        <v>173</v>
      </c>
      <c r="N23" s="588" t="s">
        <v>174</v>
      </c>
      <c r="O23" s="593">
        <v>500</v>
      </c>
      <c r="P23" s="594" t="s">
        <v>15</v>
      </c>
      <c r="Q23" s="789"/>
      <c r="R23" s="790"/>
    </row>
    <row r="24" spans="1:18" ht="12.6" customHeight="1">
      <c r="A24" s="585"/>
      <c r="B24" s="586"/>
      <c r="C24" s="587"/>
      <c r="D24" s="587"/>
      <c r="E24" s="588"/>
      <c r="F24" s="589"/>
      <c r="G24" s="590"/>
      <c r="H24" s="595" t="s">
        <v>172</v>
      </c>
      <c r="I24" s="596">
        <v>45625</v>
      </c>
      <c r="J24" s="597">
        <v>20013469</v>
      </c>
      <c r="K24" s="597">
        <v>2390</v>
      </c>
      <c r="L24" s="598" t="s">
        <v>144</v>
      </c>
      <c r="M24" s="598" t="s">
        <v>122</v>
      </c>
      <c r="N24" s="598" t="s">
        <v>145</v>
      </c>
      <c r="O24" s="599">
        <v>500</v>
      </c>
      <c r="P24" s="600" t="s">
        <v>15</v>
      </c>
      <c r="Q24" s="791"/>
      <c r="R24" s="792"/>
    </row>
    <row r="25" spans="1:18" ht="12.6" customHeight="1">
      <c r="A25" s="585"/>
      <c r="B25" s="586"/>
      <c r="C25" s="587"/>
      <c r="D25" s="587"/>
      <c r="E25" s="588"/>
      <c r="F25" s="589"/>
      <c r="G25" s="590"/>
      <c r="H25" s="595" t="s">
        <v>171</v>
      </c>
      <c r="I25" s="596">
        <v>45643</v>
      </c>
      <c r="J25" s="597">
        <v>20013593</v>
      </c>
      <c r="K25" s="597">
        <v>2390</v>
      </c>
      <c r="L25" s="598" t="s">
        <v>144</v>
      </c>
      <c r="M25" s="598" t="s">
        <v>21</v>
      </c>
      <c r="N25" s="598" t="s">
        <v>146</v>
      </c>
      <c r="O25" s="599">
        <v>500</v>
      </c>
      <c r="P25" s="600" t="s">
        <v>15</v>
      </c>
      <c r="Q25" s="791"/>
      <c r="R25" s="793"/>
    </row>
    <row r="26" spans="1:18" ht="12.6" customHeight="1">
      <c r="A26" s="585"/>
      <c r="B26" s="586"/>
      <c r="C26" s="587"/>
      <c r="D26" s="587"/>
      <c r="E26" s="588"/>
      <c r="F26" s="589"/>
      <c r="G26" s="590"/>
      <c r="H26" s="595" t="s">
        <v>187</v>
      </c>
      <c r="I26" s="596">
        <v>45650</v>
      </c>
      <c r="J26" s="597">
        <v>20013633</v>
      </c>
      <c r="K26" s="597">
        <v>2390</v>
      </c>
      <c r="L26" s="598" t="s">
        <v>144</v>
      </c>
      <c r="M26" s="598" t="s">
        <v>122</v>
      </c>
      <c r="N26" s="598" t="s">
        <v>145</v>
      </c>
      <c r="O26" s="599">
        <v>500</v>
      </c>
      <c r="P26" s="600" t="s">
        <v>15</v>
      </c>
      <c r="Q26" s="791"/>
      <c r="R26" s="792"/>
    </row>
    <row r="27" spans="1:18" ht="12.6" customHeight="1">
      <c r="A27" s="585"/>
      <c r="B27" s="586"/>
      <c r="C27" s="587"/>
      <c r="D27" s="587"/>
      <c r="E27" s="588"/>
      <c r="F27" s="589"/>
      <c r="G27" s="590"/>
      <c r="H27" s="595" t="s">
        <v>188</v>
      </c>
      <c r="I27" s="596">
        <v>45663</v>
      </c>
      <c r="J27" s="597">
        <v>20013446</v>
      </c>
      <c r="K27" s="597">
        <v>2390</v>
      </c>
      <c r="L27" s="598" t="s">
        <v>144</v>
      </c>
      <c r="M27" s="598" t="s">
        <v>189</v>
      </c>
      <c r="N27" s="598" t="s">
        <v>190</v>
      </c>
      <c r="O27" s="599">
        <v>500</v>
      </c>
      <c r="P27" s="600" t="s">
        <v>15</v>
      </c>
      <c r="Q27" s="791"/>
      <c r="R27" s="792"/>
    </row>
    <row r="28" spans="1:18" ht="12.6" customHeight="1">
      <c r="A28" s="585"/>
      <c r="B28" s="586"/>
      <c r="C28" s="587"/>
      <c r="D28" s="587"/>
      <c r="E28" s="588"/>
      <c r="F28" s="589"/>
      <c r="G28" s="590"/>
      <c r="H28" s="595" t="s">
        <v>188</v>
      </c>
      <c r="I28" s="596">
        <v>45663</v>
      </c>
      <c r="J28" s="597">
        <v>20013446</v>
      </c>
      <c r="K28" s="601">
        <v>2395</v>
      </c>
      <c r="L28" s="598" t="s">
        <v>144</v>
      </c>
      <c r="M28" s="598" t="s">
        <v>191</v>
      </c>
      <c r="N28" s="598"/>
      <c r="O28" s="599">
        <v>500</v>
      </c>
      <c r="P28" s="600" t="s">
        <v>15</v>
      </c>
      <c r="Q28" s="791"/>
      <c r="R28" s="793"/>
    </row>
    <row r="29" spans="1:18" ht="12.6" customHeight="1">
      <c r="A29" s="585"/>
      <c r="B29" s="586"/>
      <c r="C29" s="587"/>
      <c r="D29" s="587"/>
      <c r="E29" s="588"/>
      <c r="F29" s="589"/>
      <c r="G29" s="590"/>
      <c r="H29" s="595" t="s">
        <v>192</v>
      </c>
      <c r="I29" s="596">
        <v>45691</v>
      </c>
      <c r="J29" s="597">
        <v>20013778</v>
      </c>
      <c r="K29" s="597">
        <v>2390</v>
      </c>
      <c r="L29" s="598" t="s">
        <v>144</v>
      </c>
      <c r="M29" s="598" t="s">
        <v>21</v>
      </c>
      <c r="N29" s="598" t="s">
        <v>146</v>
      </c>
      <c r="O29" s="599">
        <v>500</v>
      </c>
      <c r="P29" s="600" t="s">
        <v>15</v>
      </c>
      <c r="Q29" s="791"/>
      <c r="R29" s="793"/>
    </row>
    <row r="30" spans="1:18" ht="12.6" customHeight="1">
      <c r="A30" s="585"/>
      <c r="B30" s="586"/>
      <c r="C30" s="587"/>
      <c r="D30" s="587"/>
      <c r="E30" s="588"/>
      <c r="F30" s="589"/>
      <c r="G30" s="590"/>
      <c r="H30" s="595" t="s">
        <v>192</v>
      </c>
      <c r="I30" s="596">
        <v>45691</v>
      </c>
      <c r="J30" s="597">
        <v>20013778</v>
      </c>
      <c r="K30" s="597">
        <v>2390</v>
      </c>
      <c r="L30" s="598" t="s">
        <v>144</v>
      </c>
      <c r="M30" s="598" t="s">
        <v>30</v>
      </c>
      <c r="N30" s="598" t="s">
        <v>147</v>
      </c>
      <c r="O30" s="599">
        <v>500</v>
      </c>
      <c r="P30" s="600" t="s">
        <v>15</v>
      </c>
      <c r="Q30" s="791"/>
      <c r="R30" s="793"/>
    </row>
    <row r="31" spans="1:18" ht="12.6" customHeight="1">
      <c r="A31" s="585"/>
      <c r="B31" s="586"/>
      <c r="C31" s="587"/>
      <c r="D31" s="587"/>
      <c r="E31" s="588"/>
      <c r="F31" s="589"/>
      <c r="G31" s="590"/>
      <c r="H31" s="595" t="s">
        <v>193</v>
      </c>
      <c r="I31" s="596">
        <v>45692</v>
      </c>
      <c r="J31" s="597">
        <v>20013778</v>
      </c>
      <c r="K31" s="597">
        <v>2390</v>
      </c>
      <c r="L31" s="598" t="s">
        <v>144</v>
      </c>
      <c r="M31" s="598" t="s">
        <v>21</v>
      </c>
      <c r="N31" s="598" t="s">
        <v>146</v>
      </c>
      <c r="O31" s="599">
        <v>500</v>
      </c>
      <c r="P31" s="600" t="s">
        <v>15</v>
      </c>
      <c r="Q31" s="791"/>
      <c r="R31" s="793"/>
    </row>
    <row r="32" spans="1:18" ht="12.6" customHeight="1" thickBot="1">
      <c r="A32" s="602"/>
      <c r="B32" s="603"/>
      <c r="C32" s="604"/>
      <c r="D32" s="604"/>
      <c r="E32" s="605"/>
      <c r="F32" s="606"/>
      <c r="G32" s="607"/>
      <c r="H32" s="608" t="s">
        <v>194</v>
      </c>
      <c r="I32" s="609">
        <v>45707</v>
      </c>
      <c r="J32" s="610">
        <v>20013851</v>
      </c>
      <c r="K32" s="610">
        <v>2390</v>
      </c>
      <c r="L32" s="611" t="s">
        <v>144</v>
      </c>
      <c r="M32" s="611" t="s">
        <v>122</v>
      </c>
      <c r="N32" s="611" t="s">
        <v>145</v>
      </c>
      <c r="O32" s="612">
        <v>500</v>
      </c>
      <c r="P32" s="613" t="s">
        <v>15</v>
      </c>
      <c r="Q32" s="794">
        <f>SUM(O23:O32)</f>
        <v>5000</v>
      </c>
      <c r="R32" s="795" t="s">
        <v>175</v>
      </c>
    </row>
    <row r="33" spans="1:18" ht="12.6" customHeight="1" thickTop="1">
      <c r="A33" s="614" t="s">
        <v>199</v>
      </c>
      <c r="B33" s="615">
        <v>45708</v>
      </c>
      <c r="C33" s="616">
        <v>207145</v>
      </c>
      <c r="D33" s="616">
        <v>2390</v>
      </c>
      <c r="E33" s="617" t="s">
        <v>14</v>
      </c>
      <c r="F33" s="618">
        <v>5000</v>
      </c>
      <c r="G33" s="619" t="s">
        <v>15</v>
      </c>
      <c r="H33" s="620" t="s">
        <v>202</v>
      </c>
      <c r="I33" s="621">
        <v>45742</v>
      </c>
      <c r="J33" s="616">
        <v>20014040</v>
      </c>
      <c r="K33" s="616">
        <v>2390</v>
      </c>
      <c r="L33" s="617" t="s">
        <v>144</v>
      </c>
      <c r="M33" s="617" t="s">
        <v>201</v>
      </c>
      <c r="N33" s="617" t="s">
        <v>145</v>
      </c>
      <c r="O33" s="622">
        <v>500</v>
      </c>
      <c r="P33" s="623" t="s">
        <v>15</v>
      </c>
      <c r="Q33" s="796"/>
      <c r="R33" s="797"/>
    </row>
    <row r="34" spans="1:18" ht="12.6" customHeight="1">
      <c r="A34" s="614"/>
      <c r="B34" s="615"/>
      <c r="C34" s="616"/>
      <c r="D34" s="616"/>
      <c r="E34" s="617"/>
      <c r="F34" s="618"/>
      <c r="G34" s="619"/>
      <c r="H34" s="624" t="s">
        <v>203</v>
      </c>
      <c r="I34" s="625">
        <v>45748</v>
      </c>
      <c r="J34" s="626">
        <v>20014062</v>
      </c>
      <c r="K34" s="626">
        <v>2390</v>
      </c>
      <c r="L34" s="627" t="s">
        <v>144</v>
      </c>
      <c r="M34" s="627" t="s">
        <v>21</v>
      </c>
      <c r="N34" s="627" t="s">
        <v>146</v>
      </c>
      <c r="O34" s="628">
        <v>500</v>
      </c>
      <c r="P34" s="629" t="s">
        <v>15</v>
      </c>
      <c r="Q34" s="798"/>
      <c r="R34" s="799"/>
    </row>
    <row r="35" spans="1:18" ht="12.6" customHeight="1">
      <c r="A35" s="614"/>
      <c r="B35" s="615"/>
      <c r="C35" s="616"/>
      <c r="D35" s="616"/>
      <c r="E35" s="617"/>
      <c r="F35" s="618"/>
      <c r="G35" s="619"/>
      <c r="H35" s="624" t="s">
        <v>204</v>
      </c>
      <c r="I35" s="625">
        <v>45748</v>
      </c>
      <c r="J35" s="626">
        <v>20014076</v>
      </c>
      <c r="K35" s="626">
        <v>2390</v>
      </c>
      <c r="L35" s="627" t="s">
        <v>144</v>
      </c>
      <c r="M35" s="627" t="s">
        <v>122</v>
      </c>
      <c r="N35" s="627" t="s">
        <v>145</v>
      </c>
      <c r="O35" s="628">
        <v>500</v>
      </c>
      <c r="P35" s="629" t="s">
        <v>15</v>
      </c>
      <c r="Q35" s="798"/>
      <c r="R35" s="799"/>
    </row>
    <row r="36" spans="1:18" ht="12.6" customHeight="1">
      <c r="A36" s="614"/>
      <c r="B36" s="615"/>
      <c r="C36" s="616"/>
      <c r="D36" s="616"/>
      <c r="E36" s="617"/>
      <c r="F36" s="618"/>
      <c r="G36" s="619"/>
      <c r="H36" s="624" t="s">
        <v>214</v>
      </c>
      <c r="I36" s="625">
        <v>45776</v>
      </c>
      <c r="J36" s="626">
        <v>20014143</v>
      </c>
      <c r="K36" s="630">
        <v>2490</v>
      </c>
      <c r="L36" s="627" t="s">
        <v>236</v>
      </c>
      <c r="M36" s="627" t="s">
        <v>21</v>
      </c>
      <c r="N36" s="627" t="s">
        <v>146</v>
      </c>
      <c r="O36" s="628">
        <v>500</v>
      </c>
      <c r="P36" s="629" t="s">
        <v>15</v>
      </c>
      <c r="Q36" s="798"/>
      <c r="R36" s="799"/>
    </row>
    <row r="37" spans="1:18" ht="12.6" customHeight="1">
      <c r="A37" s="614"/>
      <c r="B37" s="615"/>
      <c r="C37" s="616"/>
      <c r="D37" s="616"/>
      <c r="E37" s="617"/>
      <c r="F37" s="618"/>
      <c r="G37" s="619"/>
      <c r="H37" s="624" t="s">
        <v>214</v>
      </c>
      <c r="I37" s="625">
        <v>45776</v>
      </c>
      <c r="J37" s="626">
        <v>20014143</v>
      </c>
      <c r="K37" s="630">
        <v>2490</v>
      </c>
      <c r="L37" s="627" t="s">
        <v>236</v>
      </c>
      <c r="M37" s="627" t="s">
        <v>122</v>
      </c>
      <c r="N37" s="627" t="s">
        <v>145</v>
      </c>
      <c r="O37" s="628">
        <v>500</v>
      </c>
      <c r="P37" s="629" t="s">
        <v>15</v>
      </c>
      <c r="Q37" s="798"/>
      <c r="R37" s="799"/>
    </row>
    <row r="38" spans="1:18" ht="12.6" customHeight="1">
      <c r="A38" s="614"/>
      <c r="B38" s="615"/>
      <c r="C38" s="616"/>
      <c r="D38" s="616"/>
      <c r="E38" s="617"/>
      <c r="F38" s="618"/>
      <c r="G38" s="619"/>
      <c r="H38" s="624" t="s">
        <v>210</v>
      </c>
      <c r="I38" s="625">
        <v>45783</v>
      </c>
      <c r="J38" s="626">
        <v>20014196</v>
      </c>
      <c r="K38" s="626">
        <v>2390</v>
      </c>
      <c r="L38" s="627" t="s">
        <v>144</v>
      </c>
      <c r="M38" s="627" t="s">
        <v>201</v>
      </c>
      <c r="N38" s="627" t="s">
        <v>145</v>
      </c>
      <c r="O38" s="628">
        <v>500</v>
      </c>
      <c r="P38" s="629" t="s">
        <v>15</v>
      </c>
      <c r="Q38" s="798"/>
      <c r="R38" s="799"/>
    </row>
    <row r="39" spans="1:18" ht="12.6" customHeight="1">
      <c r="A39" s="614"/>
      <c r="B39" s="615"/>
      <c r="C39" s="616"/>
      <c r="D39" s="616"/>
      <c r="E39" s="617"/>
      <c r="F39" s="618"/>
      <c r="G39" s="619"/>
      <c r="H39" s="624" t="s">
        <v>210</v>
      </c>
      <c r="I39" s="625">
        <v>45783</v>
      </c>
      <c r="J39" s="626">
        <v>20014196</v>
      </c>
      <c r="K39" s="626">
        <v>2390</v>
      </c>
      <c r="L39" s="627" t="s">
        <v>144</v>
      </c>
      <c r="M39" s="627" t="s">
        <v>215</v>
      </c>
      <c r="N39" s="627" t="s">
        <v>216</v>
      </c>
      <c r="O39" s="628">
        <v>500</v>
      </c>
      <c r="P39" s="629" t="s">
        <v>15</v>
      </c>
      <c r="Q39" s="798"/>
      <c r="R39" s="799"/>
    </row>
    <row r="40" spans="1:18" ht="12.6" customHeight="1">
      <c r="A40" s="614"/>
      <c r="B40" s="615"/>
      <c r="C40" s="616"/>
      <c r="D40" s="616"/>
      <c r="E40" s="617"/>
      <c r="F40" s="618"/>
      <c r="G40" s="619"/>
      <c r="H40" s="624" t="s">
        <v>210</v>
      </c>
      <c r="I40" s="625">
        <v>45783</v>
      </c>
      <c r="J40" s="626">
        <v>20014196</v>
      </c>
      <c r="K40" s="626">
        <v>2390</v>
      </c>
      <c r="L40" s="627" t="s">
        <v>144</v>
      </c>
      <c r="M40" s="627" t="s">
        <v>207</v>
      </c>
      <c r="N40" s="627" t="s">
        <v>147</v>
      </c>
      <c r="O40" s="628">
        <v>500</v>
      </c>
      <c r="P40" s="629" t="s">
        <v>15</v>
      </c>
      <c r="Q40" s="798"/>
      <c r="R40" s="799"/>
    </row>
    <row r="41" spans="1:18" ht="12.6" customHeight="1">
      <c r="A41" s="614"/>
      <c r="B41" s="615"/>
      <c r="C41" s="616"/>
      <c r="D41" s="616"/>
      <c r="E41" s="617"/>
      <c r="F41" s="618"/>
      <c r="G41" s="619"/>
      <c r="H41" s="624" t="s">
        <v>212</v>
      </c>
      <c r="I41" s="625">
        <v>45797</v>
      </c>
      <c r="J41" s="626">
        <v>20014268</v>
      </c>
      <c r="K41" s="626">
        <v>2390</v>
      </c>
      <c r="L41" s="627" t="s">
        <v>144</v>
      </c>
      <c r="M41" s="627" t="s">
        <v>21</v>
      </c>
      <c r="N41" s="627" t="s">
        <v>146</v>
      </c>
      <c r="O41" s="628">
        <v>500</v>
      </c>
      <c r="P41" s="629" t="s">
        <v>15</v>
      </c>
      <c r="Q41" s="798"/>
      <c r="R41" s="799"/>
    </row>
    <row r="42" spans="1:18" ht="12.6" customHeight="1" thickBot="1">
      <c r="A42" s="631"/>
      <c r="B42" s="632"/>
      <c r="C42" s="633"/>
      <c r="D42" s="633"/>
      <c r="E42" s="634"/>
      <c r="F42" s="635"/>
      <c r="G42" s="636"/>
      <c r="H42" s="637" t="s">
        <v>212</v>
      </c>
      <c r="I42" s="638">
        <v>45797</v>
      </c>
      <c r="J42" s="639">
        <v>20014268</v>
      </c>
      <c r="K42" s="639">
        <v>2390</v>
      </c>
      <c r="L42" s="640" t="s">
        <v>144</v>
      </c>
      <c r="M42" s="640" t="s">
        <v>122</v>
      </c>
      <c r="N42" s="640" t="s">
        <v>145</v>
      </c>
      <c r="O42" s="641">
        <v>500</v>
      </c>
      <c r="P42" s="642" t="s">
        <v>15</v>
      </c>
      <c r="Q42" s="800">
        <f>SUM(O33:O42)</f>
        <v>5000</v>
      </c>
      <c r="R42" s="801">
        <f>Q42-F33</f>
        <v>0</v>
      </c>
    </row>
    <row r="43" spans="1:18" ht="12.6" customHeight="1" thickTop="1">
      <c r="A43" s="614" t="s">
        <v>219</v>
      </c>
      <c r="B43" s="615">
        <v>45797</v>
      </c>
      <c r="C43" s="616">
        <v>207145</v>
      </c>
      <c r="D43" s="616">
        <v>2390</v>
      </c>
      <c r="E43" s="617" t="s">
        <v>14</v>
      </c>
      <c r="F43" s="618">
        <v>5000</v>
      </c>
      <c r="G43" s="619" t="s">
        <v>15</v>
      </c>
      <c r="H43" s="620" t="s">
        <v>220</v>
      </c>
      <c r="I43" s="621">
        <v>45811</v>
      </c>
      <c r="J43" s="616">
        <v>20014346</v>
      </c>
      <c r="K43" s="616">
        <v>2390</v>
      </c>
      <c r="L43" s="617" t="s">
        <v>144</v>
      </c>
      <c r="M43" s="617" t="s">
        <v>21</v>
      </c>
      <c r="N43" s="617" t="s">
        <v>146</v>
      </c>
      <c r="O43" s="622">
        <v>500</v>
      </c>
      <c r="P43" s="623" t="s">
        <v>15</v>
      </c>
      <c r="Q43" s="796"/>
      <c r="R43" s="797"/>
    </row>
    <row r="44" spans="1:18" ht="12.6" customHeight="1">
      <c r="A44" s="614"/>
      <c r="B44" s="615"/>
      <c r="C44" s="616"/>
      <c r="D44" s="616"/>
      <c r="E44" s="617"/>
      <c r="F44" s="618"/>
      <c r="G44" s="619"/>
      <c r="H44" s="624" t="s">
        <v>220</v>
      </c>
      <c r="I44" s="625">
        <v>45811</v>
      </c>
      <c r="J44" s="626">
        <v>20014346</v>
      </c>
      <c r="K44" s="626">
        <v>2390</v>
      </c>
      <c r="L44" s="627" t="s">
        <v>144</v>
      </c>
      <c r="M44" s="627" t="s">
        <v>122</v>
      </c>
      <c r="N44" s="627" t="s">
        <v>145</v>
      </c>
      <c r="O44" s="628">
        <v>500</v>
      </c>
      <c r="P44" s="629" t="s">
        <v>15</v>
      </c>
      <c r="Q44" s="798"/>
      <c r="R44" s="799"/>
    </row>
    <row r="45" spans="1:18" ht="12.6" customHeight="1">
      <c r="A45" s="614"/>
      <c r="B45" s="615"/>
      <c r="C45" s="616"/>
      <c r="D45" s="616"/>
      <c r="E45" s="617"/>
      <c r="F45" s="618"/>
      <c r="G45" s="619"/>
      <c r="H45" s="624" t="s">
        <v>220</v>
      </c>
      <c r="I45" s="625">
        <v>45811</v>
      </c>
      <c r="J45" s="626">
        <v>20014346</v>
      </c>
      <c r="K45" s="626">
        <v>2390</v>
      </c>
      <c r="L45" s="627" t="s">
        <v>144</v>
      </c>
      <c r="M45" s="627" t="s">
        <v>30</v>
      </c>
      <c r="N45" s="627" t="s">
        <v>147</v>
      </c>
      <c r="O45" s="628">
        <v>500</v>
      </c>
      <c r="P45" s="629" t="s">
        <v>15</v>
      </c>
      <c r="Q45" s="798"/>
      <c r="R45" s="799"/>
    </row>
    <row r="46" spans="1:18" ht="12.6" customHeight="1">
      <c r="A46" s="614"/>
      <c r="B46" s="615"/>
      <c r="C46" s="616"/>
      <c r="D46" s="616"/>
      <c r="E46" s="617"/>
      <c r="F46" s="618"/>
      <c r="G46" s="619"/>
      <c r="H46" s="624" t="s">
        <v>221</v>
      </c>
      <c r="I46" s="625">
        <v>45825</v>
      </c>
      <c r="J46" s="626">
        <v>20014414</v>
      </c>
      <c r="K46" s="626">
        <v>2390</v>
      </c>
      <c r="L46" s="627" t="s">
        <v>144</v>
      </c>
      <c r="M46" s="627" t="s">
        <v>127</v>
      </c>
      <c r="N46" s="627" t="s">
        <v>145</v>
      </c>
      <c r="O46" s="628">
        <v>500</v>
      </c>
      <c r="P46" s="629" t="s">
        <v>15</v>
      </c>
      <c r="Q46" s="798"/>
      <c r="R46" s="799"/>
    </row>
    <row r="47" spans="1:18" ht="12.6" customHeight="1">
      <c r="A47" s="614"/>
      <c r="B47" s="615"/>
      <c r="C47" s="616"/>
      <c r="D47" s="616"/>
      <c r="E47" s="617"/>
      <c r="F47" s="618"/>
      <c r="G47" s="619"/>
      <c r="H47" s="624" t="s">
        <v>222</v>
      </c>
      <c r="I47" s="625">
        <v>45839</v>
      </c>
      <c r="J47" s="626">
        <v>20014468</v>
      </c>
      <c r="K47" s="626">
        <v>2490</v>
      </c>
      <c r="L47" s="627" t="s">
        <v>223</v>
      </c>
      <c r="M47" s="627" t="s">
        <v>127</v>
      </c>
      <c r="N47" s="627" t="s">
        <v>224</v>
      </c>
      <c r="O47" s="628">
        <v>500</v>
      </c>
      <c r="P47" s="629" t="s">
        <v>15</v>
      </c>
      <c r="Q47" s="798"/>
      <c r="R47" s="799"/>
    </row>
    <row r="48" spans="1:18" ht="12.6" customHeight="1">
      <c r="A48" s="614"/>
      <c r="B48" s="615"/>
      <c r="C48" s="616"/>
      <c r="D48" s="616"/>
      <c r="E48" s="617"/>
      <c r="F48" s="618"/>
      <c r="G48" s="619"/>
      <c r="H48" s="624" t="s">
        <v>225</v>
      </c>
      <c r="I48" s="625">
        <v>45853</v>
      </c>
      <c r="J48" s="626">
        <v>20014502</v>
      </c>
      <c r="K48" s="626">
        <v>2390</v>
      </c>
      <c r="L48" s="627" t="s">
        <v>144</v>
      </c>
      <c r="M48" s="627" t="s">
        <v>201</v>
      </c>
      <c r="N48" s="627" t="s">
        <v>145</v>
      </c>
      <c r="O48" s="628">
        <v>500</v>
      </c>
      <c r="P48" s="629" t="s">
        <v>15</v>
      </c>
      <c r="Q48" s="798"/>
      <c r="R48" s="799"/>
    </row>
    <row r="49" spans="1:18" ht="12.6" customHeight="1">
      <c r="A49" s="614"/>
      <c r="B49" s="615"/>
      <c r="C49" s="616"/>
      <c r="D49" s="616"/>
      <c r="E49" s="617"/>
      <c r="F49" s="618"/>
      <c r="G49" s="619"/>
      <c r="H49" s="624" t="s">
        <v>226</v>
      </c>
      <c r="I49" s="625">
        <v>45867</v>
      </c>
      <c r="J49" s="626">
        <v>20014567</v>
      </c>
      <c r="K49" s="626">
        <v>2390</v>
      </c>
      <c r="L49" s="627" t="s">
        <v>144</v>
      </c>
      <c r="M49" s="627" t="s">
        <v>201</v>
      </c>
      <c r="N49" s="627" t="s">
        <v>145</v>
      </c>
      <c r="O49" s="628">
        <v>500</v>
      </c>
      <c r="P49" s="629" t="s">
        <v>15</v>
      </c>
      <c r="Q49" s="798"/>
      <c r="R49" s="799"/>
    </row>
    <row r="50" spans="1:18" ht="12.6" customHeight="1">
      <c r="A50" s="614"/>
      <c r="B50" s="615"/>
      <c r="C50" s="616"/>
      <c r="D50" s="616"/>
      <c r="E50" s="617"/>
      <c r="F50" s="618"/>
      <c r="G50" s="619"/>
      <c r="H50" s="624" t="s">
        <v>227</v>
      </c>
      <c r="I50" s="625">
        <v>45867</v>
      </c>
      <c r="J50" s="626">
        <v>20014567</v>
      </c>
      <c r="K50" s="626">
        <v>2490</v>
      </c>
      <c r="L50" s="627" t="s">
        <v>223</v>
      </c>
      <c r="M50" s="627" t="s">
        <v>211</v>
      </c>
      <c r="N50" s="627" t="s">
        <v>228</v>
      </c>
      <c r="O50" s="628">
        <v>500</v>
      </c>
      <c r="P50" s="629" t="s">
        <v>15</v>
      </c>
      <c r="Q50" s="798"/>
      <c r="R50" s="799"/>
    </row>
    <row r="51" spans="1:18" ht="12.6" customHeight="1">
      <c r="A51" s="614"/>
      <c r="B51" s="615"/>
      <c r="C51" s="616"/>
      <c r="D51" s="616"/>
      <c r="E51" s="617"/>
      <c r="F51" s="618"/>
      <c r="G51" s="619"/>
      <c r="H51" s="624" t="s">
        <v>227</v>
      </c>
      <c r="I51" s="625">
        <v>45867</v>
      </c>
      <c r="J51" s="626">
        <v>20014567</v>
      </c>
      <c r="K51" s="626">
        <v>2490</v>
      </c>
      <c r="L51" s="627" t="s">
        <v>223</v>
      </c>
      <c r="M51" s="627" t="s">
        <v>207</v>
      </c>
      <c r="N51" s="627" t="s">
        <v>250</v>
      </c>
      <c r="O51" s="628">
        <v>500</v>
      </c>
      <c r="P51" s="629" t="s">
        <v>15</v>
      </c>
      <c r="Q51" s="798"/>
      <c r="R51" s="818"/>
    </row>
    <row r="52" spans="1:18" ht="12.6" customHeight="1" thickBot="1">
      <c r="A52" s="631"/>
      <c r="B52" s="632"/>
      <c r="C52" s="633"/>
      <c r="D52" s="633"/>
      <c r="E52" s="634"/>
      <c r="F52" s="635"/>
      <c r="G52" s="636"/>
      <c r="H52" s="637" t="s">
        <v>247</v>
      </c>
      <c r="I52" s="638">
        <v>45897</v>
      </c>
      <c r="J52" s="639">
        <v>20014711</v>
      </c>
      <c r="K52" s="639">
        <v>2390</v>
      </c>
      <c r="L52" s="640" t="s">
        <v>144</v>
      </c>
      <c r="M52" s="640" t="s">
        <v>201</v>
      </c>
      <c r="N52" s="640" t="s">
        <v>145</v>
      </c>
      <c r="O52" s="641">
        <v>500</v>
      </c>
      <c r="P52" s="642" t="s">
        <v>15</v>
      </c>
      <c r="Q52" s="800">
        <f>SUM(O43:O52)</f>
        <v>5000</v>
      </c>
      <c r="R52" s="819"/>
    </row>
    <row r="53" spans="1:18" ht="12.6" customHeight="1" thickTop="1">
      <c r="A53" s="643" t="s">
        <v>251</v>
      </c>
      <c r="B53" s="644">
        <v>45882</v>
      </c>
      <c r="C53" s="645">
        <v>207145</v>
      </c>
      <c r="D53" s="645">
        <v>2390</v>
      </c>
      <c r="E53" s="646" t="s">
        <v>14</v>
      </c>
      <c r="F53" s="647">
        <v>5000</v>
      </c>
      <c r="G53" s="648" t="s">
        <v>15</v>
      </c>
      <c r="H53" s="649" t="s">
        <v>248</v>
      </c>
      <c r="I53" s="650">
        <v>45897</v>
      </c>
      <c r="J53" s="645">
        <v>20014711</v>
      </c>
      <c r="K53" s="645">
        <v>2490</v>
      </c>
      <c r="L53" s="646" t="s">
        <v>223</v>
      </c>
      <c r="M53" s="646" t="s">
        <v>249</v>
      </c>
      <c r="N53" s="820" t="s">
        <v>281</v>
      </c>
      <c r="O53" s="651">
        <v>500</v>
      </c>
      <c r="P53" s="652" t="s">
        <v>15</v>
      </c>
      <c r="Q53" s="802"/>
      <c r="R53" s="814"/>
    </row>
    <row r="54" spans="1:18" ht="12.6" customHeight="1">
      <c r="A54" s="643"/>
      <c r="B54" s="644"/>
      <c r="C54" s="645"/>
      <c r="D54" s="645"/>
      <c r="E54" s="646"/>
      <c r="F54" s="647"/>
      <c r="G54" s="648"/>
      <c r="H54" s="653" t="s">
        <v>260</v>
      </c>
      <c r="I54" s="654">
        <v>45909</v>
      </c>
      <c r="J54" s="655">
        <v>20014743</v>
      </c>
      <c r="K54" s="655">
        <v>2490</v>
      </c>
      <c r="L54" s="656" t="s">
        <v>223</v>
      </c>
      <c r="M54" s="656" t="s">
        <v>211</v>
      </c>
      <c r="N54" s="656" t="s">
        <v>228</v>
      </c>
      <c r="O54" s="657">
        <v>500</v>
      </c>
      <c r="P54" s="658" t="s">
        <v>15</v>
      </c>
      <c r="Q54" s="803"/>
      <c r="R54" s="805"/>
    </row>
    <row r="55" spans="1:18" ht="12.6" customHeight="1">
      <c r="A55" s="643"/>
      <c r="B55" s="644"/>
      <c r="C55" s="645"/>
      <c r="D55" s="645"/>
      <c r="E55" s="646"/>
      <c r="F55" s="647"/>
      <c r="G55" s="648"/>
      <c r="H55" s="653" t="s">
        <v>261</v>
      </c>
      <c r="I55" s="654">
        <v>45916</v>
      </c>
      <c r="J55" s="655">
        <v>20014777</v>
      </c>
      <c r="K55" s="655">
        <v>2390</v>
      </c>
      <c r="L55" s="656" t="s">
        <v>223</v>
      </c>
      <c r="M55" s="656" t="s">
        <v>211</v>
      </c>
      <c r="N55" s="656" t="s">
        <v>228</v>
      </c>
      <c r="O55" s="657">
        <v>500</v>
      </c>
      <c r="P55" s="658" t="s">
        <v>15</v>
      </c>
      <c r="Q55" s="803"/>
      <c r="R55" s="805"/>
    </row>
    <row r="56" spans="1:18" ht="12.6" customHeight="1">
      <c r="A56" s="643"/>
      <c r="B56" s="644"/>
      <c r="C56" s="645"/>
      <c r="D56" s="645"/>
      <c r="E56" s="646"/>
      <c r="F56" s="647"/>
      <c r="G56" s="648"/>
      <c r="H56" s="653" t="s">
        <v>261</v>
      </c>
      <c r="I56" s="654">
        <v>45916</v>
      </c>
      <c r="J56" s="655">
        <v>20014777</v>
      </c>
      <c r="K56" s="655">
        <v>2390</v>
      </c>
      <c r="L56" s="656" t="s">
        <v>144</v>
      </c>
      <c r="M56" s="656" t="s">
        <v>201</v>
      </c>
      <c r="N56" s="656" t="s">
        <v>145</v>
      </c>
      <c r="O56" s="657">
        <v>500</v>
      </c>
      <c r="P56" s="658" t="s">
        <v>15</v>
      </c>
      <c r="Q56" s="803"/>
      <c r="R56" s="805"/>
    </row>
    <row r="57" spans="1:18" ht="12.6" customHeight="1">
      <c r="A57" s="643"/>
      <c r="B57" s="644"/>
      <c r="C57" s="645"/>
      <c r="D57" s="645"/>
      <c r="E57" s="646"/>
      <c r="F57" s="647"/>
      <c r="G57" s="648"/>
      <c r="H57" s="653" t="s">
        <v>278</v>
      </c>
      <c r="I57" s="654">
        <v>45951</v>
      </c>
      <c r="J57" s="655">
        <v>20014916</v>
      </c>
      <c r="K57" s="655">
        <v>2390</v>
      </c>
      <c r="L57" s="656" t="s">
        <v>144</v>
      </c>
      <c r="M57" s="656" t="s">
        <v>201</v>
      </c>
      <c r="N57" s="656" t="s">
        <v>145</v>
      </c>
      <c r="O57" s="657">
        <v>500</v>
      </c>
      <c r="P57" s="658" t="s">
        <v>15</v>
      </c>
      <c r="Q57" s="803"/>
      <c r="R57" s="804"/>
    </row>
    <row r="58" spans="1:18" ht="12.6" customHeight="1">
      <c r="A58" s="643"/>
      <c r="B58" s="644"/>
      <c r="C58" s="645"/>
      <c r="D58" s="645"/>
      <c r="E58" s="646"/>
      <c r="F58" s="647"/>
      <c r="G58" s="648"/>
      <c r="H58" s="653" t="s">
        <v>278</v>
      </c>
      <c r="I58" s="654">
        <v>45951</v>
      </c>
      <c r="J58" s="655">
        <v>20014916</v>
      </c>
      <c r="K58" s="655">
        <v>2490</v>
      </c>
      <c r="L58" s="656" t="s">
        <v>223</v>
      </c>
      <c r="M58" s="656" t="s">
        <v>211</v>
      </c>
      <c r="N58" s="656" t="s">
        <v>228</v>
      </c>
      <c r="O58" s="657">
        <v>500</v>
      </c>
      <c r="P58" s="658" t="s">
        <v>15</v>
      </c>
      <c r="Q58" s="803"/>
      <c r="R58" s="804"/>
    </row>
    <row r="59" spans="1:18" ht="12.6" customHeight="1">
      <c r="A59" s="643"/>
      <c r="B59" s="644"/>
      <c r="C59" s="645"/>
      <c r="D59" s="645"/>
      <c r="E59" s="646"/>
      <c r="F59" s="647"/>
      <c r="G59" s="648"/>
      <c r="H59" s="653" t="s">
        <v>284</v>
      </c>
      <c r="I59" s="654">
        <v>45979</v>
      </c>
      <c r="J59" s="655">
        <v>20015019</v>
      </c>
      <c r="K59" s="655">
        <v>2390</v>
      </c>
      <c r="L59" s="656" t="s">
        <v>144</v>
      </c>
      <c r="M59" s="656" t="s">
        <v>215</v>
      </c>
      <c r="N59" s="656" t="s">
        <v>216</v>
      </c>
      <c r="O59" s="657">
        <v>500</v>
      </c>
      <c r="P59" s="658" t="s">
        <v>15</v>
      </c>
      <c r="Q59" s="803"/>
      <c r="R59" s="804"/>
    </row>
    <row r="60" spans="1:18" ht="12.6" customHeight="1">
      <c r="A60" s="643"/>
      <c r="B60" s="644"/>
      <c r="C60" s="645"/>
      <c r="D60" s="645"/>
      <c r="E60" s="646"/>
      <c r="F60" s="647"/>
      <c r="G60" s="648"/>
      <c r="H60" s="653" t="s">
        <v>287</v>
      </c>
      <c r="I60" s="654">
        <v>46001</v>
      </c>
      <c r="J60" s="655">
        <v>20015119</v>
      </c>
      <c r="K60" s="655">
        <v>2490</v>
      </c>
      <c r="L60" s="656" t="s">
        <v>223</v>
      </c>
      <c r="M60" s="851" t="s">
        <v>127</v>
      </c>
      <c r="N60" s="851" t="s">
        <v>224</v>
      </c>
      <c r="O60" s="657">
        <v>500</v>
      </c>
      <c r="P60" s="658" t="s">
        <v>15</v>
      </c>
      <c r="Q60" s="803"/>
      <c r="R60" s="804"/>
    </row>
    <row r="61" spans="1:18" ht="12.6" customHeight="1">
      <c r="A61" s="643"/>
      <c r="B61" s="644"/>
      <c r="C61" s="645"/>
      <c r="D61" s="645"/>
      <c r="E61" s="646"/>
      <c r="F61" s="647"/>
      <c r="G61" s="648"/>
      <c r="H61" s="853" t="s">
        <v>290</v>
      </c>
      <c r="I61" s="854">
        <v>46015</v>
      </c>
      <c r="J61" s="855">
        <v>20015146</v>
      </c>
      <c r="K61" s="855">
        <v>2390</v>
      </c>
      <c r="L61" s="856" t="s">
        <v>144</v>
      </c>
      <c r="M61" s="856" t="s">
        <v>201</v>
      </c>
      <c r="N61" s="856" t="s">
        <v>145</v>
      </c>
      <c r="O61" s="857">
        <v>500</v>
      </c>
      <c r="P61" s="858" t="s">
        <v>15</v>
      </c>
      <c r="Q61" s="859"/>
      <c r="R61" s="860"/>
    </row>
    <row r="62" spans="1:18" ht="12.6" customHeight="1">
      <c r="A62" s="643" t="s">
        <v>291</v>
      </c>
      <c r="B62" s="644">
        <v>46027</v>
      </c>
      <c r="C62" s="645">
        <v>207145</v>
      </c>
      <c r="D62" s="645">
        <v>2390</v>
      </c>
      <c r="E62" s="646" t="s">
        <v>14</v>
      </c>
      <c r="F62" s="647">
        <v>5000</v>
      </c>
      <c r="G62" s="648" t="s">
        <v>15</v>
      </c>
      <c r="H62" s="649" t="s">
        <v>299</v>
      </c>
      <c r="I62" s="650">
        <v>46072</v>
      </c>
      <c r="J62" s="645">
        <v>20015351</v>
      </c>
      <c r="K62" s="645">
        <v>2390</v>
      </c>
      <c r="L62" s="646" t="s">
        <v>144</v>
      </c>
      <c r="M62" s="856" t="s">
        <v>201</v>
      </c>
      <c r="N62" s="856" t="s">
        <v>145</v>
      </c>
      <c r="O62" s="857">
        <v>500</v>
      </c>
      <c r="P62" s="858" t="s">
        <v>15</v>
      </c>
      <c r="Q62" s="802"/>
      <c r="R62" s="814"/>
    </row>
    <row r="63" spans="1:18" ht="12.6" customHeight="1">
      <c r="A63" s="643"/>
      <c r="B63" s="644"/>
      <c r="C63" s="645"/>
      <c r="D63" s="645"/>
      <c r="E63" s="646"/>
      <c r="F63" s="647"/>
      <c r="G63" s="648"/>
      <c r="H63" s="653" t="s">
        <v>301</v>
      </c>
      <c r="I63" s="654">
        <v>46072</v>
      </c>
      <c r="J63" s="655">
        <v>20015351</v>
      </c>
      <c r="K63" s="655">
        <v>2490</v>
      </c>
      <c r="L63" s="656" t="s">
        <v>223</v>
      </c>
      <c r="M63" s="656" t="s">
        <v>211</v>
      </c>
      <c r="N63" s="656" t="s">
        <v>228</v>
      </c>
      <c r="O63" s="657">
        <v>500</v>
      </c>
      <c r="P63" s="658" t="s">
        <v>15</v>
      </c>
      <c r="Q63" s="803"/>
      <c r="R63" s="805"/>
    </row>
    <row r="64" spans="1:18" ht="12.6" customHeight="1">
      <c r="A64" s="643"/>
      <c r="B64" s="644"/>
      <c r="C64" s="645"/>
      <c r="D64" s="645"/>
      <c r="E64" s="646"/>
      <c r="F64" s="647"/>
      <c r="G64" s="648"/>
      <c r="H64" s="653" t="s">
        <v>312</v>
      </c>
      <c r="I64" s="654">
        <v>46098</v>
      </c>
      <c r="J64" s="655">
        <v>20015511</v>
      </c>
      <c r="K64" s="855">
        <v>2390</v>
      </c>
      <c r="L64" s="856" t="s">
        <v>144</v>
      </c>
      <c r="M64" s="856" t="s">
        <v>201</v>
      </c>
      <c r="N64" s="856" t="s">
        <v>145</v>
      </c>
      <c r="O64" s="857">
        <v>500</v>
      </c>
      <c r="P64" s="858" t="s">
        <v>15</v>
      </c>
      <c r="Q64" s="803"/>
      <c r="R64" s="805"/>
    </row>
    <row r="65" spans="1:18" ht="12.6" customHeight="1">
      <c r="A65" s="643"/>
      <c r="B65" s="644"/>
      <c r="C65" s="645"/>
      <c r="D65" s="645"/>
      <c r="E65" s="646"/>
      <c r="F65" s="647"/>
      <c r="G65" s="648"/>
      <c r="H65" s="879" t="s">
        <v>319</v>
      </c>
      <c r="I65" s="654">
        <v>46113</v>
      </c>
      <c r="J65" s="655">
        <v>20015597</v>
      </c>
      <c r="K65" s="655">
        <v>2490</v>
      </c>
      <c r="L65" s="656" t="s">
        <v>223</v>
      </c>
      <c r="M65" s="656" t="s">
        <v>211</v>
      </c>
      <c r="N65" s="656" t="s">
        <v>228</v>
      </c>
      <c r="O65" s="657">
        <v>500</v>
      </c>
      <c r="P65" s="658" t="s">
        <v>15</v>
      </c>
      <c r="Q65" s="803"/>
      <c r="R65" s="805"/>
    </row>
    <row r="66" spans="1:18" ht="12.6" customHeight="1">
      <c r="A66" s="643"/>
      <c r="B66" s="644"/>
      <c r="C66" s="645"/>
      <c r="D66" s="645"/>
      <c r="E66" s="646"/>
      <c r="F66" s="647"/>
      <c r="G66" s="648"/>
      <c r="H66" s="880" t="s">
        <v>329</v>
      </c>
      <c r="I66" s="654">
        <v>46133</v>
      </c>
      <c r="J66" s="655">
        <v>20015718</v>
      </c>
      <c r="K66" s="855">
        <v>2390</v>
      </c>
      <c r="L66" s="856" t="s">
        <v>144</v>
      </c>
      <c r="M66" s="856" t="s">
        <v>201</v>
      </c>
      <c r="N66" s="856" t="s">
        <v>145</v>
      </c>
      <c r="O66" s="857">
        <v>500</v>
      </c>
      <c r="P66" s="858" t="s">
        <v>15</v>
      </c>
      <c r="Q66" s="803"/>
      <c r="R66" s="804"/>
    </row>
    <row r="67" spans="1:18" ht="12.6" customHeight="1">
      <c r="A67" s="643"/>
      <c r="B67" s="644"/>
      <c r="C67" s="645"/>
      <c r="D67" s="645"/>
      <c r="E67" s="646"/>
      <c r="F67" s="647"/>
      <c r="G67" s="648"/>
      <c r="H67" s="653" t="s">
        <v>332</v>
      </c>
      <c r="I67" s="654">
        <v>46140</v>
      </c>
      <c r="J67" s="655">
        <v>20015766</v>
      </c>
      <c r="K67" s="855">
        <v>2390</v>
      </c>
      <c r="L67" s="856" t="s">
        <v>144</v>
      </c>
      <c r="M67" s="856" t="s">
        <v>201</v>
      </c>
      <c r="N67" s="856" t="s">
        <v>145</v>
      </c>
      <c r="O67" s="857">
        <v>500</v>
      </c>
      <c r="P67" s="858" t="s">
        <v>15</v>
      </c>
      <c r="Q67" s="803"/>
      <c r="R67" s="804"/>
    </row>
    <row r="68" spans="1:18" ht="12.6" customHeight="1">
      <c r="A68" s="643"/>
      <c r="B68" s="644"/>
      <c r="C68" s="645"/>
      <c r="D68" s="645"/>
      <c r="E68" s="646"/>
      <c r="F68" s="647"/>
      <c r="G68" s="648"/>
      <c r="H68" s="653" t="s">
        <v>333</v>
      </c>
      <c r="I68" s="654">
        <v>46140</v>
      </c>
      <c r="J68" s="655">
        <v>20015766</v>
      </c>
      <c r="K68" s="655">
        <v>2490</v>
      </c>
      <c r="L68" s="656" t="s">
        <v>223</v>
      </c>
      <c r="M68" s="656" t="s">
        <v>211</v>
      </c>
      <c r="N68" s="656" t="s">
        <v>228</v>
      </c>
      <c r="O68" s="657">
        <v>550</v>
      </c>
      <c r="P68" s="658" t="s">
        <v>15</v>
      </c>
      <c r="Q68" s="803"/>
      <c r="R68" s="804"/>
    </row>
    <row r="69" spans="1:18" ht="12.6" customHeight="1">
      <c r="A69" s="643"/>
      <c r="B69" s="644"/>
      <c r="C69" s="645"/>
      <c r="D69" s="645"/>
      <c r="E69" s="646"/>
      <c r="F69" s="647"/>
      <c r="G69" s="648"/>
      <c r="H69" s="653" t="s">
        <v>337</v>
      </c>
      <c r="I69" s="654">
        <v>46147</v>
      </c>
      <c r="J69" s="655">
        <v>20015826</v>
      </c>
      <c r="K69" s="655">
        <v>2390</v>
      </c>
      <c r="L69" s="656" t="s">
        <v>144</v>
      </c>
      <c r="M69" s="851" t="s">
        <v>21</v>
      </c>
      <c r="N69" s="851" t="s">
        <v>146</v>
      </c>
      <c r="O69" s="657">
        <v>500</v>
      </c>
      <c r="P69" s="658" t="s">
        <v>15</v>
      </c>
      <c r="Q69" s="803"/>
      <c r="R69" s="804"/>
    </row>
    <row r="70" spans="1:18" ht="12.6" customHeight="1">
      <c r="A70" s="643"/>
      <c r="B70" s="644"/>
      <c r="C70" s="645"/>
      <c r="D70" s="645"/>
      <c r="E70" s="646"/>
      <c r="F70" s="647"/>
      <c r="G70" s="648"/>
      <c r="H70" s="653" t="s">
        <v>346</v>
      </c>
      <c r="I70" s="654">
        <v>46155</v>
      </c>
      <c r="J70" s="655">
        <v>20015882</v>
      </c>
      <c r="K70" s="655">
        <v>2390</v>
      </c>
      <c r="L70" s="856" t="s">
        <v>144</v>
      </c>
      <c r="M70" s="856" t="s">
        <v>201</v>
      </c>
      <c r="N70" s="856" t="s">
        <v>145</v>
      </c>
      <c r="O70" s="657">
        <v>500</v>
      </c>
      <c r="P70" s="658" t="s">
        <v>15</v>
      </c>
      <c r="Q70" s="803"/>
      <c r="R70" s="804"/>
    </row>
    <row r="71" spans="1:18" ht="12.6" customHeight="1">
      <c r="A71" s="643"/>
      <c r="B71" s="644"/>
      <c r="C71" s="645"/>
      <c r="D71" s="645"/>
      <c r="E71" s="646"/>
      <c r="F71" s="647"/>
      <c r="G71" s="648"/>
      <c r="H71" s="653" t="s">
        <v>346</v>
      </c>
      <c r="I71" s="654">
        <v>46155</v>
      </c>
      <c r="J71" s="655">
        <v>20015882</v>
      </c>
      <c r="K71" s="655">
        <v>2390</v>
      </c>
      <c r="L71" s="856" t="s">
        <v>144</v>
      </c>
      <c r="M71" s="851" t="s">
        <v>207</v>
      </c>
      <c r="N71" s="851" t="s">
        <v>250</v>
      </c>
      <c r="O71" s="657">
        <v>500</v>
      </c>
      <c r="P71" s="658" t="s">
        <v>15</v>
      </c>
      <c r="Q71" s="803"/>
      <c r="R71" s="804"/>
    </row>
    <row r="72" spans="1:18" ht="12.6" customHeight="1">
      <c r="A72" s="643"/>
      <c r="B72" s="644"/>
      <c r="C72" s="645"/>
      <c r="D72" s="645"/>
      <c r="E72" s="646"/>
      <c r="F72" s="647"/>
      <c r="G72" s="648"/>
      <c r="H72" s="653" t="s">
        <v>361</v>
      </c>
      <c r="I72" s="654">
        <v>46169</v>
      </c>
      <c r="J72" s="655">
        <v>20015989</v>
      </c>
      <c r="K72" s="655">
        <v>2390</v>
      </c>
      <c r="L72" s="656" t="s">
        <v>144</v>
      </c>
      <c r="M72" s="851" t="s">
        <v>21</v>
      </c>
      <c r="N72" s="851" t="s">
        <v>146</v>
      </c>
      <c r="O72" s="657">
        <v>500</v>
      </c>
      <c r="P72" s="658" t="s">
        <v>15</v>
      </c>
      <c r="Q72" s="803"/>
      <c r="R72" s="804"/>
    </row>
    <row r="73" spans="1:18" ht="12.6" customHeight="1">
      <c r="A73" s="643"/>
      <c r="B73" s="644"/>
      <c r="C73" s="645"/>
      <c r="D73" s="645"/>
      <c r="E73" s="646"/>
      <c r="F73" s="647"/>
      <c r="G73" s="648"/>
      <c r="H73" s="653"/>
      <c r="I73" s="654"/>
      <c r="J73" s="655"/>
      <c r="K73" s="655"/>
      <c r="L73" s="656"/>
      <c r="M73" s="851"/>
      <c r="N73" s="851"/>
      <c r="O73" s="657"/>
      <c r="P73" s="658"/>
      <c r="Q73" s="803"/>
      <c r="R73" s="804"/>
    </row>
    <row r="74" spans="1:18" ht="12.6" customHeight="1">
      <c r="A74" s="643" t="s">
        <v>364</v>
      </c>
      <c r="B74" s="644">
        <v>46171</v>
      </c>
      <c r="C74" s="645">
        <v>207145</v>
      </c>
      <c r="D74" s="645">
        <v>2390</v>
      </c>
      <c r="E74" s="646" t="s">
        <v>14</v>
      </c>
      <c r="F74" s="647">
        <v>5000</v>
      </c>
      <c r="G74" s="648" t="s">
        <v>15</v>
      </c>
      <c r="H74" s="653" t="s">
        <v>365</v>
      </c>
      <c r="I74" s="654">
        <v>46179</v>
      </c>
      <c r="J74" s="655">
        <v>20016044</v>
      </c>
      <c r="K74" s="655">
        <v>2390</v>
      </c>
      <c r="L74" s="656" t="s">
        <v>144</v>
      </c>
      <c r="M74" s="851" t="s">
        <v>338</v>
      </c>
      <c r="N74" s="851" t="s">
        <v>366</v>
      </c>
      <c r="O74" s="657">
        <v>500</v>
      </c>
      <c r="P74" s="658" t="s">
        <v>15</v>
      </c>
      <c r="Q74" s="917"/>
      <c r="R74" s="804"/>
    </row>
    <row r="75" spans="1:18" ht="12.6" customHeight="1">
      <c r="A75" s="916"/>
      <c r="B75" s="644"/>
      <c r="C75" s="645"/>
      <c r="D75" s="645"/>
      <c r="E75" s="646"/>
      <c r="F75" s="647"/>
      <c r="G75" s="648"/>
      <c r="H75" s="653" t="s">
        <v>367</v>
      </c>
      <c r="I75" s="654">
        <v>46179</v>
      </c>
      <c r="J75" s="655">
        <v>20016044</v>
      </c>
      <c r="K75" s="655">
        <v>2490</v>
      </c>
      <c r="L75" s="656" t="s">
        <v>223</v>
      </c>
      <c r="M75" s="656" t="s">
        <v>211</v>
      </c>
      <c r="N75" s="656" t="s">
        <v>228</v>
      </c>
      <c r="O75" s="657">
        <v>550</v>
      </c>
      <c r="P75" s="658" t="s">
        <v>15</v>
      </c>
      <c r="Q75" s="917"/>
      <c r="R75" s="804"/>
    </row>
    <row r="76" spans="1:18" ht="12.6" customHeight="1">
      <c r="A76" s="643"/>
      <c r="B76" s="644"/>
      <c r="C76" s="645"/>
      <c r="D76" s="645"/>
      <c r="E76" s="646"/>
      <c r="F76" s="647"/>
      <c r="G76" s="648"/>
      <c r="H76" s="653" t="s">
        <v>375</v>
      </c>
      <c r="I76" s="654">
        <v>46190</v>
      </c>
      <c r="J76" s="655">
        <v>20016141</v>
      </c>
      <c r="K76" s="655">
        <v>2390</v>
      </c>
      <c r="L76" s="856" t="s">
        <v>144</v>
      </c>
      <c r="M76" s="851" t="s">
        <v>207</v>
      </c>
      <c r="N76" s="851" t="s">
        <v>376</v>
      </c>
      <c r="O76" s="657">
        <v>500</v>
      </c>
      <c r="P76" s="658" t="s">
        <v>15</v>
      </c>
      <c r="Q76" s="917"/>
      <c r="R76" s="804"/>
    </row>
    <row r="77" spans="1:18" ht="12.6" customHeight="1">
      <c r="A77" s="643"/>
      <c r="B77" s="644"/>
      <c r="C77" s="645"/>
      <c r="D77" s="645"/>
      <c r="E77" s="646"/>
      <c r="F77" s="647"/>
      <c r="G77" s="648"/>
      <c r="H77" s="653" t="s">
        <v>392</v>
      </c>
      <c r="I77" s="654">
        <v>46196</v>
      </c>
      <c r="J77" s="655">
        <v>20016179</v>
      </c>
      <c r="K77" s="655">
        <v>2390</v>
      </c>
      <c r="L77" s="656" t="s">
        <v>144</v>
      </c>
      <c r="M77" s="656" t="s">
        <v>211</v>
      </c>
      <c r="N77" s="656" t="s">
        <v>381</v>
      </c>
      <c r="O77" s="657">
        <v>500</v>
      </c>
      <c r="P77" s="658" t="s">
        <v>15</v>
      </c>
      <c r="Q77" s="917"/>
      <c r="R77" s="804"/>
    </row>
    <row r="78" spans="1:18" ht="12.6" customHeight="1">
      <c r="A78" s="643"/>
      <c r="B78" s="644"/>
      <c r="C78" s="645"/>
      <c r="D78" s="645"/>
      <c r="E78" s="646"/>
      <c r="F78" s="647"/>
      <c r="G78" s="648"/>
      <c r="H78" s="653" t="s">
        <v>392</v>
      </c>
      <c r="I78" s="654">
        <v>46196</v>
      </c>
      <c r="J78" s="655">
        <v>20016179</v>
      </c>
      <c r="K78" s="655">
        <v>2390</v>
      </c>
      <c r="L78" s="656" t="s">
        <v>144</v>
      </c>
      <c r="M78" s="851" t="s">
        <v>338</v>
      </c>
      <c r="N78" s="851" t="s">
        <v>366</v>
      </c>
      <c r="O78" s="657">
        <v>500</v>
      </c>
      <c r="P78" s="658" t="s">
        <v>15</v>
      </c>
      <c r="Q78" s="917"/>
      <c r="R78" s="804"/>
    </row>
    <row r="79" spans="1:18" ht="12.6" customHeight="1">
      <c r="A79" s="643"/>
      <c r="B79" s="644"/>
      <c r="C79" s="645"/>
      <c r="D79" s="645"/>
      <c r="E79" s="646"/>
      <c r="F79" s="647"/>
      <c r="G79" s="648"/>
      <c r="H79" s="653" t="s">
        <v>380</v>
      </c>
      <c r="I79" s="654">
        <v>46197</v>
      </c>
      <c r="J79" s="655">
        <v>20016179</v>
      </c>
      <c r="K79" s="655">
        <v>2490</v>
      </c>
      <c r="L79" s="656" t="s">
        <v>223</v>
      </c>
      <c r="M79" s="656" t="s">
        <v>211</v>
      </c>
      <c r="N79" s="656" t="s">
        <v>228</v>
      </c>
      <c r="O79" s="657">
        <v>500</v>
      </c>
      <c r="P79" s="658" t="s">
        <v>15</v>
      </c>
      <c r="Q79" s="917"/>
      <c r="R79" s="804"/>
    </row>
    <row r="80" spans="1:18" ht="12.6" customHeight="1">
      <c r="A80" s="643" t="s">
        <v>393</v>
      </c>
      <c r="B80" s="644">
        <v>46203</v>
      </c>
      <c r="C80" s="645">
        <v>207145</v>
      </c>
      <c r="D80" s="645">
        <v>2390</v>
      </c>
      <c r="E80" s="646" t="s">
        <v>14</v>
      </c>
      <c r="F80" s="647">
        <v>10000</v>
      </c>
      <c r="G80" s="648" t="s">
        <v>15</v>
      </c>
      <c r="H80" s="653" t="s">
        <v>397</v>
      </c>
      <c r="I80" s="654">
        <v>46211</v>
      </c>
      <c r="J80" s="655">
        <v>20016297</v>
      </c>
      <c r="K80" s="655">
        <v>2490</v>
      </c>
      <c r="L80" s="656" t="s">
        <v>223</v>
      </c>
      <c r="M80" s="851" t="s">
        <v>127</v>
      </c>
      <c r="N80" s="851" t="s">
        <v>224</v>
      </c>
      <c r="O80" s="657">
        <v>500</v>
      </c>
      <c r="P80" s="658" t="s">
        <v>15</v>
      </c>
      <c r="Q80" s="917"/>
      <c r="R80" s="804"/>
    </row>
    <row r="81" spans="1:18" ht="12.6" customHeight="1">
      <c r="A81" s="643"/>
      <c r="B81" s="644"/>
      <c r="C81" s="645"/>
      <c r="D81" s="645"/>
      <c r="E81" s="646"/>
      <c r="F81" s="647"/>
      <c r="G81" s="648"/>
      <c r="H81" s="653" t="s">
        <v>403</v>
      </c>
      <c r="I81" s="654">
        <v>46225</v>
      </c>
      <c r="J81" s="655">
        <v>20016351</v>
      </c>
      <c r="K81" s="655">
        <v>2390</v>
      </c>
      <c r="L81" s="856" t="s">
        <v>144</v>
      </c>
      <c r="M81" s="856" t="s">
        <v>201</v>
      </c>
      <c r="N81" s="856" t="s">
        <v>145</v>
      </c>
      <c r="O81" s="657">
        <v>500</v>
      </c>
      <c r="P81" s="658" t="s">
        <v>15</v>
      </c>
      <c r="Q81" s="917"/>
      <c r="R81" s="804"/>
    </row>
    <row r="82" spans="1:18" ht="12.6" customHeight="1">
      <c r="A82" s="643"/>
      <c r="B82" s="644"/>
      <c r="C82" s="645"/>
      <c r="D82" s="645"/>
      <c r="E82" s="646"/>
      <c r="F82" s="647"/>
      <c r="G82" s="648"/>
      <c r="H82" s="653" t="s">
        <v>407</v>
      </c>
      <c r="I82" s="654">
        <v>46233</v>
      </c>
      <c r="J82" s="655">
        <v>20016392</v>
      </c>
      <c r="K82" s="655">
        <v>2390</v>
      </c>
      <c r="L82" s="656" t="s">
        <v>144</v>
      </c>
      <c r="M82" s="656" t="s">
        <v>211</v>
      </c>
      <c r="N82" s="656" t="s">
        <v>381</v>
      </c>
      <c r="O82" s="657">
        <v>500</v>
      </c>
      <c r="P82" s="658" t="s">
        <v>15</v>
      </c>
      <c r="Q82" s="917"/>
      <c r="R82" s="804"/>
    </row>
    <row r="83" spans="1:18" ht="21" customHeight="1">
      <c r="A83" s="972"/>
      <c r="B83" s="973"/>
      <c r="C83" s="974"/>
      <c r="D83" s="645"/>
      <c r="E83" s="646"/>
      <c r="F83" s="647"/>
      <c r="G83" s="648"/>
      <c r="H83" s="653"/>
      <c r="I83" s="654"/>
      <c r="J83" s="655"/>
      <c r="K83" s="655"/>
      <c r="L83" s="656"/>
      <c r="M83" s="851"/>
      <c r="N83" s="851"/>
      <c r="O83" s="657"/>
      <c r="P83" s="658"/>
      <c r="Q83" s="803"/>
      <c r="R83" s="804"/>
    </row>
    <row r="84" spans="1:18" ht="12.6" customHeight="1" thickBot="1">
      <c r="A84" s="900"/>
      <c r="B84" s="901"/>
      <c r="C84" s="902"/>
      <c r="D84" s="902"/>
      <c r="E84" s="903"/>
      <c r="F84" s="904"/>
      <c r="G84" s="905"/>
      <c r="H84" s="906"/>
      <c r="I84" s="907"/>
      <c r="J84" s="902"/>
      <c r="K84" s="902"/>
      <c r="L84" s="903"/>
      <c r="M84" s="903"/>
      <c r="N84" s="903"/>
      <c r="O84" s="908"/>
      <c r="P84" s="909"/>
      <c r="Q84" s="910"/>
      <c r="R84" s="911"/>
    </row>
    <row r="85" spans="1:18" ht="12.95" customHeight="1" thickTop="1" thickBot="1">
      <c r="A85" s="39"/>
      <c r="B85" s="40"/>
      <c r="C85" s="41"/>
      <c r="D85" s="41"/>
      <c r="E85" s="42"/>
      <c r="F85" s="43">
        <f>SUM(F4:F83)</f>
        <v>50000</v>
      </c>
      <c r="G85" s="44" t="s">
        <v>15</v>
      </c>
      <c r="H85" s="670"/>
      <c r="I85" s="41"/>
      <c r="J85" s="41"/>
      <c r="K85" s="41"/>
      <c r="L85" s="42"/>
      <c r="M85" s="42"/>
      <c r="N85" s="42"/>
      <c r="O85" s="43">
        <f>SUM(O4:O83)</f>
        <v>39600</v>
      </c>
      <c r="P85" s="49" t="s">
        <v>15</v>
      </c>
      <c r="Q85" s="672">
        <f>+O53++O54+O55+O56+O57+O58+O59+O60+O61+O62+O63+O64+O65+O66+O67+O68+O69+O70+O71+O72+O74+O75+O76+O77+O79</f>
        <v>12600</v>
      </c>
      <c r="R85" s="898">
        <f>+F85-O85</f>
        <v>10400</v>
      </c>
    </row>
    <row r="88" spans="1:18" ht="25.5">
      <c r="B88" s="967"/>
      <c r="C88" s="942" t="s">
        <v>410</v>
      </c>
      <c r="D88" s="931">
        <v>10400</v>
      </c>
      <c r="E88" s="932" t="s">
        <v>412</v>
      </c>
    </row>
    <row r="89" spans="1:18" ht="25.5">
      <c r="B89" s="967"/>
      <c r="C89" s="943" t="s">
        <v>411</v>
      </c>
      <c r="D89" s="933">
        <v>2100</v>
      </c>
      <c r="E89" s="932" t="s">
        <v>412</v>
      </c>
    </row>
    <row r="90" spans="1:18" ht="25.5">
      <c r="B90" s="967"/>
      <c r="C90" s="944" t="s">
        <v>413</v>
      </c>
      <c r="D90" s="941">
        <f>+D88-D89</f>
        <v>8300</v>
      </c>
      <c r="E90" s="932" t="s">
        <v>412</v>
      </c>
    </row>
  </sheetData>
  <autoFilter ref="A4:R85" xr:uid="{F7DC8F8D-1400-4023-9793-12332374ED83}"/>
  <mergeCells count="2">
    <mergeCell ref="A3:G3"/>
    <mergeCell ref="H3:R3"/>
  </mergeCells>
  <phoneticPr fontId="13" type="noConversion"/>
  <pageMargins left="0.25" right="0.25" top="0.75" bottom="0.75" header="0.3" footer="0.3"/>
  <pageSetup paperSize="9" scale="6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98C0-CED4-466F-84BC-06FF8B59D3E4}">
  <sheetPr>
    <pageSetUpPr fitToPage="1"/>
  </sheetPr>
  <dimension ref="A1:Q24"/>
  <sheetViews>
    <sheetView workbookViewId="0">
      <pane xSplit="7" ySplit="2" topLeftCell="H9" activePane="bottomRight" state="frozen"/>
      <selection pane="topRight" activeCell="H1" sqref="H1"/>
      <selection pane="bottomLeft" activeCell="A5" sqref="A5"/>
      <selection pane="bottomRight" activeCell="G14" sqref="G14"/>
    </sheetView>
  </sheetViews>
  <sheetFormatPr defaultColWidth="9.140625" defaultRowHeight="16.5"/>
  <cols>
    <col min="1" max="1" width="12.42578125" style="660" customWidth="1"/>
    <col min="2" max="2" width="13.28515625" style="674" customWidth="1"/>
    <col min="3" max="3" width="11" style="660" customWidth="1"/>
    <col min="4" max="4" width="12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2.42578125" style="664" customWidth="1"/>
    <col min="10" max="10" width="10.85546875" style="664" customWidth="1"/>
    <col min="11" max="11" width="14" style="660" customWidth="1"/>
    <col min="12" max="12" width="16.7109375" style="660" customWidth="1"/>
    <col min="13" max="13" width="11.140625" style="660" customWidth="1"/>
    <col min="14" max="14" width="10.140625" style="660" customWidth="1"/>
    <col min="15" max="15" width="7.28515625" style="664" customWidth="1"/>
    <col min="16" max="16" width="10.7109375" style="666" bestFit="1" customWidth="1"/>
    <col min="17" max="17" width="17.42578125" style="666" customWidth="1"/>
    <col min="18" max="16384" width="9.140625" style="660"/>
  </cols>
  <sheetData>
    <row r="1" spans="1:17" ht="17.25" thickBot="1">
      <c r="A1" s="660" t="s">
        <v>178</v>
      </c>
      <c r="B1" s="661" t="s">
        <v>231</v>
      </c>
      <c r="D1" s="662" t="s">
        <v>179</v>
      </c>
      <c r="E1" s="663" t="s">
        <v>182</v>
      </c>
      <c r="K1" s="665"/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0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8"/>
    </row>
    <row r="4" spans="1:17" ht="12.95" customHeight="1" thickTop="1">
      <c r="A4" s="735" t="s">
        <v>128</v>
      </c>
      <c r="B4" s="736">
        <v>44701</v>
      </c>
      <c r="C4" s="737">
        <v>204555</v>
      </c>
      <c r="D4" s="737">
        <v>2245</v>
      </c>
      <c r="E4" s="738" t="s">
        <v>14</v>
      </c>
      <c r="F4" s="739">
        <v>3000</v>
      </c>
      <c r="G4" s="740" t="s">
        <v>15</v>
      </c>
      <c r="H4" s="741" t="s">
        <v>54</v>
      </c>
      <c r="I4" s="742">
        <v>44950</v>
      </c>
      <c r="J4" s="743">
        <v>20010082</v>
      </c>
      <c r="K4" s="744" t="s">
        <v>129</v>
      </c>
      <c r="L4" s="744" t="s">
        <v>27</v>
      </c>
      <c r="M4" s="744" t="s">
        <v>130</v>
      </c>
      <c r="N4" s="745">
        <v>661</v>
      </c>
      <c r="O4" s="746" t="s">
        <v>15</v>
      </c>
      <c r="P4" s="746"/>
      <c r="Q4" s="746"/>
    </row>
    <row r="5" spans="1:17" ht="12.95" customHeight="1">
      <c r="A5" s="747"/>
      <c r="B5" s="748"/>
      <c r="C5" s="472"/>
      <c r="D5" s="472"/>
      <c r="E5" s="474"/>
      <c r="F5" s="749"/>
      <c r="G5" s="750"/>
      <c r="H5" s="751" t="s">
        <v>57</v>
      </c>
      <c r="I5" s="752">
        <v>44964</v>
      </c>
      <c r="J5" s="753">
        <v>20010169</v>
      </c>
      <c r="K5" s="754" t="s">
        <v>129</v>
      </c>
      <c r="L5" s="754" t="s">
        <v>21</v>
      </c>
      <c r="M5" s="754" t="s">
        <v>131</v>
      </c>
      <c r="N5" s="755">
        <v>661</v>
      </c>
      <c r="O5" s="756" t="s">
        <v>15</v>
      </c>
      <c r="P5" s="756"/>
      <c r="Q5" s="756"/>
    </row>
    <row r="6" spans="1:17" ht="12.95" customHeight="1">
      <c r="A6" s="757"/>
      <c r="B6" s="748"/>
      <c r="C6" s="472"/>
      <c r="D6" s="472"/>
      <c r="E6" s="474"/>
      <c r="F6" s="749"/>
      <c r="G6" s="750"/>
      <c r="H6" s="751" t="s">
        <v>57</v>
      </c>
      <c r="I6" s="752">
        <v>44964</v>
      </c>
      <c r="J6" s="753">
        <v>20010169</v>
      </c>
      <c r="K6" s="754" t="s">
        <v>129</v>
      </c>
      <c r="L6" s="754" t="s">
        <v>132</v>
      </c>
      <c r="M6" s="754" t="s">
        <v>133</v>
      </c>
      <c r="N6" s="755">
        <v>661</v>
      </c>
      <c r="O6" s="756" t="s">
        <v>15</v>
      </c>
      <c r="P6" s="756"/>
      <c r="Q6" s="756"/>
    </row>
    <row r="7" spans="1:17" ht="12.95" customHeight="1">
      <c r="A7" s="757"/>
      <c r="B7" s="748"/>
      <c r="C7" s="472"/>
      <c r="D7" s="472"/>
      <c r="E7" s="474"/>
      <c r="F7" s="749"/>
      <c r="G7" s="750"/>
      <c r="H7" s="751" t="s">
        <v>134</v>
      </c>
      <c r="I7" s="752">
        <v>44987</v>
      </c>
      <c r="J7" s="753">
        <v>20010303</v>
      </c>
      <c r="K7" s="754" t="s">
        <v>129</v>
      </c>
      <c r="L7" s="754" t="s">
        <v>27</v>
      </c>
      <c r="M7" s="754" t="s">
        <v>130</v>
      </c>
      <c r="N7" s="755">
        <v>661</v>
      </c>
      <c r="O7" s="756" t="s">
        <v>15</v>
      </c>
      <c r="P7" s="756"/>
      <c r="Q7" s="756"/>
    </row>
    <row r="8" spans="1:17" ht="12.95" customHeight="1">
      <c r="A8" s="757"/>
      <c r="B8" s="748"/>
      <c r="C8" s="472"/>
      <c r="D8" s="472"/>
      <c r="E8" s="474"/>
      <c r="F8" s="749"/>
      <c r="G8" s="750"/>
      <c r="H8" s="751" t="s">
        <v>135</v>
      </c>
      <c r="I8" s="752">
        <v>45055</v>
      </c>
      <c r="J8" s="753">
        <v>20010681</v>
      </c>
      <c r="K8" s="754" t="s">
        <v>129</v>
      </c>
      <c r="L8" s="754" t="s">
        <v>136</v>
      </c>
      <c r="M8" s="754" t="s">
        <v>133</v>
      </c>
      <c r="N8" s="755">
        <v>661</v>
      </c>
      <c r="O8" s="756" t="s">
        <v>15</v>
      </c>
      <c r="P8" s="756"/>
      <c r="Q8" s="756"/>
    </row>
    <row r="9" spans="1:17" ht="12.95" customHeight="1">
      <c r="A9" s="757"/>
      <c r="B9" s="748"/>
      <c r="C9" s="472"/>
      <c r="D9" s="472"/>
      <c r="E9" s="474"/>
      <c r="F9" s="749"/>
      <c r="G9" s="750"/>
      <c r="H9" s="484" t="s">
        <v>137</v>
      </c>
      <c r="I9" s="485">
        <v>45147</v>
      </c>
      <c r="J9" s="486">
        <v>20011117</v>
      </c>
      <c r="K9" s="754" t="s">
        <v>129</v>
      </c>
      <c r="L9" s="488" t="s">
        <v>27</v>
      </c>
      <c r="M9" s="488" t="s">
        <v>130</v>
      </c>
      <c r="N9" s="489">
        <v>661</v>
      </c>
      <c r="O9" s="756" t="s">
        <v>15</v>
      </c>
      <c r="P9" s="756"/>
      <c r="Q9" s="756"/>
    </row>
    <row r="10" spans="1:17" ht="12.95" customHeight="1">
      <c r="A10" s="757"/>
      <c r="B10" s="748"/>
      <c r="C10" s="472"/>
      <c r="D10" s="472"/>
      <c r="E10" s="474"/>
      <c r="F10" s="749"/>
      <c r="G10" s="750"/>
      <c r="H10" s="484" t="s">
        <v>138</v>
      </c>
      <c r="I10" s="485">
        <v>45153</v>
      </c>
      <c r="J10" s="486">
        <v>20011151</v>
      </c>
      <c r="K10" s="754" t="s">
        <v>129</v>
      </c>
      <c r="L10" s="488" t="s">
        <v>21</v>
      </c>
      <c r="M10" s="488" t="s">
        <v>131</v>
      </c>
      <c r="N10" s="489">
        <v>661</v>
      </c>
      <c r="O10" s="756" t="s">
        <v>15</v>
      </c>
      <c r="P10" s="756"/>
      <c r="Q10" s="756"/>
    </row>
    <row r="11" spans="1:17" ht="12.95" customHeight="1">
      <c r="A11" s="757"/>
      <c r="B11" s="748"/>
      <c r="C11" s="472"/>
      <c r="D11" s="472"/>
      <c r="E11" s="474"/>
      <c r="F11" s="749"/>
      <c r="G11" s="750"/>
      <c r="H11" s="484" t="s">
        <v>139</v>
      </c>
      <c r="I11" s="485">
        <v>45167</v>
      </c>
      <c r="J11" s="486">
        <v>20011233</v>
      </c>
      <c r="K11" s="754" t="s">
        <v>129</v>
      </c>
      <c r="L11" s="488" t="s">
        <v>136</v>
      </c>
      <c r="M11" s="488" t="s">
        <v>133</v>
      </c>
      <c r="N11" s="489">
        <v>661</v>
      </c>
      <c r="O11" s="756" t="s">
        <v>15</v>
      </c>
      <c r="P11" s="756"/>
      <c r="Q11" s="756"/>
    </row>
    <row r="12" spans="1:17" ht="12.95" customHeight="1">
      <c r="A12" s="757"/>
      <c r="B12" s="748"/>
      <c r="C12" s="472"/>
      <c r="D12" s="472"/>
      <c r="E12" s="474"/>
      <c r="F12" s="749"/>
      <c r="G12" s="750"/>
      <c r="H12" s="484" t="s">
        <v>140</v>
      </c>
      <c r="I12" s="485">
        <v>45399</v>
      </c>
      <c r="J12" s="486">
        <v>20012298</v>
      </c>
      <c r="K12" s="754" t="s">
        <v>129</v>
      </c>
      <c r="L12" s="488" t="s">
        <v>21</v>
      </c>
      <c r="M12" s="488" t="s">
        <v>131</v>
      </c>
      <c r="N12" s="489">
        <v>661</v>
      </c>
      <c r="O12" s="756" t="s">
        <v>15</v>
      </c>
      <c r="P12" s="756"/>
      <c r="Q12" s="756"/>
    </row>
    <row r="13" spans="1:17" ht="12.95" customHeight="1">
      <c r="A13" s="757"/>
      <c r="B13" s="748"/>
      <c r="C13" s="472"/>
      <c r="D13" s="472"/>
      <c r="E13" s="474"/>
      <c r="F13" s="749"/>
      <c r="G13" s="750"/>
      <c r="H13" s="484" t="s">
        <v>140</v>
      </c>
      <c r="I13" s="485">
        <v>45399</v>
      </c>
      <c r="J13" s="486">
        <v>20012298</v>
      </c>
      <c r="K13" s="754" t="s">
        <v>129</v>
      </c>
      <c r="L13" s="488" t="s">
        <v>27</v>
      </c>
      <c r="M13" s="488" t="s">
        <v>130</v>
      </c>
      <c r="N13" s="489">
        <v>661</v>
      </c>
      <c r="O13" s="756" t="s">
        <v>15</v>
      </c>
      <c r="P13" s="756"/>
      <c r="Q13" s="756"/>
    </row>
    <row r="14" spans="1:17" ht="12.95" customHeight="1">
      <c r="A14" s="757"/>
      <c r="B14" s="748"/>
      <c r="C14" s="472"/>
      <c r="D14" s="472"/>
      <c r="E14" s="474"/>
      <c r="F14" s="749"/>
      <c r="G14" s="750"/>
      <c r="H14" s="484" t="s">
        <v>141</v>
      </c>
      <c r="I14" s="485">
        <v>45524</v>
      </c>
      <c r="J14" s="486">
        <v>20012990</v>
      </c>
      <c r="K14" s="754" t="s">
        <v>129</v>
      </c>
      <c r="L14" s="488" t="s">
        <v>136</v>
      </c>
      <c r="M14" s="488" t="s">
        <v>133</v>
      </c>
      <c r="N14" s="489">
        <v>661</v>
      </c>
      <c r="O14" s="756" t="s">
        <v>15</v>
      </c>
      <c r="P14" s="756"/>
      <c r="Q14" s="756"/>
    </row>
    <row r="15" spans="1:17" ht="12.95" customHeight="1">
      <c r="A15" s="757"/>
      <c r="B15" s="748"/>
      <c r="C15" s="472"/>
      <c r="D15" s="472"/>
      <c r="E15" s="474"/>
      <c r="F15" s="749"/>
      <c r="G15" s="750"/>
      <c r="H15" s="484" t="s">
        <v>108</v>
      </c>
      <c r="I15" s="485">
        <v>45545</v>
      </c>
      <c r="J15" s="486">
        <v>20013100</v>
      </c>
      <c r="K15" s="754" t="s">
        <v>129</v>
      </c>
      <c r="L15" s="488" t="s">
        <v>27</v>
      </c>
      <c r="M15" s="488" t="s">
        <v>130</v>
      </c>
      <c r="N15" s="489">
        <v>661</v>
      </c>
      <c r="O15" s="756" t="s">
        <v>15</v>
      </c>
      <c r="P15" s="756"/>
      <c r="Q15" s="756"/>
    </row>
    <row r="16" spans="1:17" ht="12.95" customHeight="1">
      <c r="A16" s="757"/>
      <c r="B16" s="748"/>
      <c r="C16" s="472"/>
      <c r="D16" s="472"/>
      <c r="E16" s="474"/>
      <c r="F16" s="749"/>
      <c r="G16" s="750"/>
      <c r="H16" s="484" t="s">
        <v>171</v>
      </c>
      <c r="I16" s="485">
        <v>45643</v>
      </c>
      <c r="J16" s="486">
        <v>20013593</v>
      </c>
      <c r="K16" s="488" t="s">
        <v>129</v>
      </c>
      <c r="L16" s="488" t="s">
        <v>21</v>
      </c>
      <c r="M16" s="488" t="s">
        <v>131</v>
      </c>
      <c r="N16" s="489">
        <v>661</v>
      </c>
      <c r="O16" s="758" t="s">
        <v>15</v>
      </c>
      <c r="P16" s="758"/>
      <c r="Q16" s="758"/>
    </row>
    <row r="17" spans="1:17" ht="12.95" customHeight="1">
      <c r="A17" s="757"/>
      <c r="B17" s="748"/>
      <c r="C17" s="472"/>
      <c r="D17" s="472"/>
      <c r="E17" s="474"/>
      <c r="F17" s="749"/>
      <c r="G17" s="750"/>
      <c r="H17" s="484" t="s">
        <v>203</v>
      </c>
      <c r="I17" s="485">
        <v>45748</v>
      </c>
      <c r="J17" s="486">
        <v>20014062</v>
      </c>
      <c r="K17" s="488" t="s">
        <v>129</v>
      </c>
      <c r="L17" s="488" t="s">
        <v>27</v>
      </c>
      <c r="M17" s="488" t="s">
        <v>130</v>
      </c>
      <c r="N17" s="489">
        <v>661</v>
      </c>
      <c r="O17" s="758" t="s">
        <v>15</v>
      </c>
      <c r="P17" s="758"/>
      <c r="Q17" s="758"/>
    </row>
    <row r="18" spans="1:17" ht="12.95" customHeight="1">
      <c r="A18" s="757"/>
      <c r="B18" s="748"/>
      <c r="C18" s="472"/>
      <c r="D18" s="472"/>
      <c r="E18" s="474"/>
      <c r="F18" s="749"/>
      <c r="G18" s="750"/>
      <c r="H18" s="484" t="s">
        <v>213</v>
      </c>
      <c r="I18" s="485">
        <v>45797</v>
      </c>
      <c r="J18" s="486">
        <v>20014283</v>
      </c>
      <c r="K18" s="488" t="s">
        <v>129</v>
      </c>
      <c r="L18" s="488" t="s">
        <v>136</v>
      </c>
      <c r="M18" s="488" t="s">
        <v>133</v>
      </c>
      <c r="N18" s="489">
        <v>661</v>
      </c>
      <c r="O18" s="758" t="s">
        <v>15</v>
      </c>
      <c r="P18" s="758"/>
      <c r="Q18" s="758"/>
    </row>
    <row r="19" spans="1:17" ht="12.95" customHeight="1">
      <c r="A19" s="757"/>
      <c r="B19" s="748"/>
      <c r="C19" s="472"/>
      <c r="D19" s="472"/>
      <c r="E19" s="474"/>
      <c r="F19" s="749"/>
      <c r="G19" s="750"/>
      <c r="H19" s="484" t="s">
        <v>307</v>
      </c>
      <c r="I19" s="485">
        <v>46084</v>
      </c>
      <c r="J19" s="486">
        <v>20015430</v>
      </c>
      <c r="K19" s="488" t="s">
        <v>129</v>
      </c>
      <c r="L19" s="488" t="s">
        <v>21</v>
      </c>
      <c r="M19" s="488" t="s">
        <v>131</v>
      </c>
      <c r="N19" s="489">
        <v>661</v>
      </c>
      <c r="O19" s="758" t="s">
        <v>15</v>
      </c>
      <c r="P19" s="758"/>
      <c r="Q19" s="758"/>
    </row>
    <row r="20" spans="1:17" ht="12.95" customHeight="1">
      <c r="A20" s="757"/>
      <c r="B20" s="748"/>
      <c r="C20" s="472"/>
      <c r="D20" s="472"/>
      <c r="E20" s="474"/>
      <c r="F20" s="749"/>
      <c r="G20" s="750"/>
      <c r="H20" s="484" t="s">
        <v>402</v>
      </c>
      <c r="I20" s="485">
        <v>46217</v>
      </c>
      <c r="J20" s="486">
        <v>20016304</v>
      </c>
      <c r="K20" s="488" t="s">
        <v>129</v>
      </c>
      <c r="L20" s="488" t="s">
        <v>27</v>
      </c>
      <c r="M20" s="488" t="s">
        <v>130</v>
      </c>
      <c r="N20" s="489">
        <v>661</v>
      </c>
      <c r="O20" s="758" t="s">
        <v>15</v>
      </c>
      <c r="P20" s="758"/>
      <c r="Q20" s="758"/>
    </row>
    <row r="21" spans="1:17" ht="12.95" customHeight="1" thickBot="1">
      <c r="A21" s="981"/>
      <c r="B21" s="982"/>
      <c r="C21" s="983"/>
      <c r="D21" s="984"/>
      <c r="E21" s="496"/>
      <c r="F21" s="497"/>
      <c r="G21" s="498"/>
      <c r="H21" s="499"/>
      <c r="I21" s="500"/>
      <c r="J21" s="501"/>
      <c r="K21" s="502"/>
      <c r="L21" s="502"/>
      <c r="M21" s="502"/>
      <c r="N21" s="503"/>
      <c r="O21" s="659"/>
      <c r="P21" s="659"/>
      <c r="Q21" s="659"/>
    </row>
    <row r="22" spans="1:17" ht="12.95" customHeight="1" thickTop="1" thickBot="1">
      <c r="A22" s="39"/>
      <c r="B22" s="40"/>
      <c r="C22" s="41"/>
      <c r="D22" s="41"/>
      <c r="E22" s="42"/>
      <c r="F22" s="43">
        <f>SUM(F4:F7)</f>
        <v>3000</v>
      </c>
      <c r="G22" s="44" t="s">
        <v>15</v>
      </c>
      <c r="H22" s="670"/>
      <c r="I22" s="41"/>
      <c r="J22" s="41"/>
      <c r="K22" s="42"/>
      <c r="L22" s="42"/>
      <c r="M22" s="42"/>
      <c r="N22" s="43">
        <f>SUM(N4:N21)</f>
        <v>11237</v>
      </c>
      <c r="O22" s="49" t="s">
        <v>15</v>
      </c>
      <c r="P22" s="49">
        <v>0</v>
      </c>
      <c r="Q22" s="508" t="s">
        <v>343</v>
      </c>
    </row>
    <row r="23" spans="1:17" ht="12.95" customHeight="1">
      <c r="C23" s="664"/>
      <c r="F23" s="759"/>
      <c r="N23" s="760"/>
      <c r="O23" s="762"/>
      <c r="P23" s="762"/>
      <c r="Q23" s="762"/>
    </row>
    <row r="24" spans="1:17" ht="12.95" customHeight="1">
      <c r="A24" s="761"/>
    </row>
  </sheetData>
  <mergeCells count="2">
    <mergeCell ref="A3:G3"/>
    <mergeCell ref="H3:Q3"/>
  </mergeCells>
  <phoneticPr fontId="13" type="noConversion"/>
  <pageMargins left="0.25" right="0.25" top="0.75" bottom="0.75" header="0.3" footer="0.3"/>
  <pageSetup paperSize="9" scale="7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4BC7-E140-4DED-A51A-E9CFA347792F}">
  <sheetPr>
    <pageSetUpPr fitToPage="1"/>
  </sheetPr>
  <dimension ref="A1:Q14"/>
  <sheetViews>
    <sheetView workbookViewId="0">
      <selection activeCell="C9" sqref="C9"/>
    </sheetView>
  </sheetViews>
  <sheetFormatPr defaultColWidth="9.140625" defaultRowHeight="16.5"/>
  <cols>
    <col min="1" max="1" width="12.42578125" style="660" customWidth="1"/>
    <col min="2" max="2" width="13.28515625" style="674" customWidth="1"/>
    <col min="3" max="3" width="15.5703125" style="660" customWidth="1"/>
    <col min="4" max="4" width="12.28515625" style="664" customWidth="1"/>
    <col min="5" max="5" width="9.140625" style="660"/>
    <col min="6" max="6" width="10.5703125" style="660" bestFit="1" customWidth="1"/>
    <col min="7" max="7" width="7.28515625" style="664" customWidth="1"/>
    <col min="8" max="8" width="12.5703125" style="660" customWidth="1"/>
    <col min="9" max="9" width="12.42578125" style="664" customWidth="1"/>
    <col min="10" max="10" width="10.85546875" style="664" customWidth="1"/>
    <col min="11" max="11" width="14" style="660" customWidth="1"/>
    <col min="12" max="12" width="16.7109375" style="660" customWidth="1"/>
    <col min="13" max="13" width="11.140625" style="660" customWidth="1"/>
    <col min="14" max="14" width="10.140625" style="660" customWidth="1"/>
    <col min="15" max="15" width="7.28515625" style="664" customWidth="1"/>
    <col min="16" max="16" width="10.7109375" style="666" bestFit="1" customWidth="1"/>
    <col min="17" max="17" width="17.42578125" style="666" customWidth="1"/>
    <col min="18" max="16384" width="9.140625" style="660"/>
  </cols>
  <sheetData>
    <row r="1" spans="1:17" ht="17.25" thickBot="1">
      <c r="A1" s="660" t="s">
        <v>178</v>
      </c>
      <c r="B1" s="661" t="s">
        <v>347</v>
      </c>
      <c r="D1" s="662" t="s">
        <v>179</v>
      </c>
      <c r="E1" s="663" t="s">
        <v>182</v>
      </c>
      <c r="K1" s="665"/>
    </row>
    <row r="2" spans="1:17" s="667" customFormat="1" ht="33.75" thickBo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8" t="s">
        <v>1</v>
      </c>
      <c r="I2" s="10" t="s">
        <v>8</v>
      </c>
      <c r="J2" s="10" t="s">
        <v>9</v>
      </c>
      <c r="K2" s="10" t="s">
        <v>3</v>
      </c>
      <c r="L2" s="10" t="s">
        <v>5</v>
      </c>
      <c r="M2" s="10" t="s">
        <v>10</v>
      </c>
      <c r="N2" s="10" t="s">
        <v>6</v>
      </c>
      <c r="O2" s="11" t="s">
        <v>7</v>
      </c>
      <c r="P2" s="8" t="s">
        <v>142</v>
      </c>
      <c r="Q2" s="13" t="s">
        <v>168</v>
      </c>
    </row>
    <row r="3" spans="1:17" s="667" customFormat="1" ht="15.6" customHeight="1" thickTop="1" thickBot="1">
      <c r="A3" s="987" t="s">
        <v>0</v>
      </c>
      <c r="B3" s="988"/>
      <c r="C3" s="988"/>
      <c r="D3" s="988"/>
      <c r="E3" s="988"/>
      <c r="F3" s="988"/>
      <c r="G3" s="989"/>
      <c r="H3" s="987" t="s">
        <v>11</v>
      </c>
      <c r="I3" s="988"/>
      <c r="J3" s="988"/>
      <c r="K3" s="988"/>
      <c r="L3" s="988"/>
      <c r="M3" s="988"/>
      <c r="N3" s="988"/>
      <c r="O3" s="988"/>
      <c r="P3" s="988"/>
      <c r="Q3" s="988"/>
    </row>
    <row r="4" spans="1:17" ht="12.95" customHeight="1" thickTop="1" thickBot="1">
      <c r="A4" s="735"/>
      <c r="B4" s="736">
        <v>46155</v>
      </c>
      <c r="C4" s="737" t="s">
        <v>348</v>
      </c>
      <c r="D4" s="737">
        <v>2230</v>
      </c>
      <c r="E4" s="738" t="s">
        <v>14</v>
      </c>
      <c r="F4" s="912">
        <v>0</v>
      </c>
      <c r="G4" s="740" t="s">
        <v>15</v>
      </c>
      <c r="H4" s="741" t="s">
        <v>354</v>
      </c>
      <c r="I4" s="742">
        <v>46155</v>
      </c>
      <c r="J4" s="743">
        <v>20015882</v>
      </c>
      <c r="K4" s="744" t="s">
        <v>348</v>
      </c>
      <c r="L4" s="744" t="s">
        <v>338</v>
      </c>
      <c r="M4" s="744" t="s">
        <v>359</v>
      </c>
      <c r="N4" s="745">
        <v>660</v>
      </c>
      <c r="O4" s="746" t="s">
        <v>15</v>
      </c>
      <c r="P4" s="746"/>
      <c r="Q4" s="746"/>
    </row>
    <row r="5" spans="1:17" ht="12.95" customHeight="1" thickTop="1">
      <c r="A5" s="747"/>
      <c r="B5" s="748"/>
      <c r="C5" s="472"/>
      <c r="D5" s="472"/>
      <c r="E5" s="474"/>
      <c r="F5" s="749"/>
      <c r="G5" s="750"/>
      <c r="H5" s="751" t="s">
        <v>358</v>
      </c>
      <c r="I5" s="752">
        <v>46162</v>
      </c>
      <c r="J5" s="753">
        <v>20015952</v>
      </c>
      <c r="K5" s="754" t="s">
        <v>348</v>
      </c>
      <c r="L5" s="754" t="s">
        <v>292</v>
      </c>
      <c r="M5" s="754" t="s">
        <v>357</v>
      </c>
      <c r="N5" s="755">
        <v>660</v>
      </c>
      <c r="O5" s="746" t="s">
        <v>15</v>
      </c>
      <c r="P5" s="756"/>
      <c r="Q5" s="756"/>
    </row>
    <row r="6" spans="1:17" ht="12.95" customHeight="1">
      <c r="A6" s="757"/>
      <c r="B6" s="748"/>
      <c r="C6" s="472"/>
      <c r="D6" s="472"/>
      <c r="E6" s="474"/>
      <c r="F6" s="749"/>
      <c r="G6" s="750"/>
      <c r="H6" s="751"/>
      <c r="I6" s="752"/>
      <c r="J6" s="753"/>
      <c r="K6" s="754"/>
      <c r="L6" s="754"/>
      <c r="M6" s="754"/>
      <c r="N6" s="755"/>
      <c r="O6" s="756"/>
      <c r="P6" s="756"/>
      <c r="Q6" s="756"/>
    </row>
    <row r="7" spans="1:17" ht="12.95" customHeight="1">
      <c r="A7" s="757"/>
      <c r="B7" s="748"/>
      <c r="C7" s="472"/>
      <c r="D7" s="472"/>
      <c r="E7" s="474"/>
      <c r="F7" s="749"/>
      <c r="G7" s="750"/>
      <c r="H7" s="484"/>
      <c r="I7" s="485"/>
      <c r="J7" s="486"/>
      <c r="K7" s="488"/>
      <c r="L7" s="488"/>
      <c r="M7" s="488"/>
      <c r="N7" s="489"/>
      <c r="O7" s="758"/>
      <c r="P7" s="758"/>
      <c r="Q7" s="758"/>
    </row>
    <row r="8" spans="1:17" ht="12.95" customHeight="1">
      <c r="A8" s="757"/>
      <c r="B8" s="748"/>
      <c r="C8" s="472"/>
      <c r="D8" s="472"/>
      <c r="E8" s="474"/>
      <c r="F8" s="749"/>
      <c r="G8" s="750"/>
      <c r="H8" s="484"/>
      <c r="I8" s="485"/>
      <c r="J8" s="486"/>
      <c r="K8" s="488"/>
      <c r="L8" s="488"/>
      <c r="M8" s="488"/>
      <c r="N8" s="489"/>
      <c r="O8" s="758"/>
      <c r="P8" s="758"/>
      <c r="Q8" s="758"/>
    </row>
    <row r="9" spans="1:17" ht="12.95" customHeight="1">
      <c r="A9" s="757"/>
      <c r="B9" s="748"/>
      <c r="C9" s="472"/>
      <c r="D9" s="472"/>
      <c r="E9" s="474"/>
      <c r="F9" s="749"/>
      <c r="G9" s="750"/>
      <c r="H9" s="484"/>
      <c r="I9" s="485"/>
      <c r="J9" s="486"/>
      <c r="K9" s="488"/>
      <c r="L9" s="488"/>
      <c r="M9" s="488"/>
      <c r="N9" s="489"/>
      <c r="O9" s="758"/>
      <c r="P9" s="758"/>
      <c r="Q9" s="758"/>
    </row>
    <row r="10" spans="1:17" ht="12.95" customHeight="1">
      <c r="A10" s="757"/>
      <c r="B10" s="748"/>
      <c r="C10" s="472"/>
      <c r="D10" s="472"/>
      <c r="E10" s="474"/>
      <c r="F10" s="749"/>
      <c r="G10" s="750"/>
      <c r="H10" s="484"/>
      <c r="I10" s="485"/>
      <c r="J10" s="486"/>
      <c r="K10" s="488"/>
      <c r="L10" s="488"/>
      <c r="M10" s="488"/>
      <c r="N10" s="489"/>
      <c r="O10" s="758"/>
      <c r="P10" s="758"/>
      <c r="Q10" s="758"/>
    </row>
    <row r="11" spans="1:17" ht="12.95" customHeight="1" thickBot="1">
      <c r="A11" s="985"/>
      <c r="B11" s="986"/>
      <c r="C11" s="495"/>
      <c r="D11" s="495"/>
      <c r="E11" s="496"/>
      <c r="F11" s="497"/>
      <c r="G11" s="498"/>
      <c r="H11" s="499"/>
      <c r="I11" s="500"/>
      <c r="J11" s="501"/>
      <c r="K11" s="502"/>
      <c r="L11" s="502"/>
      <c r="M11" s="502"/>
      <c r="N11" s="503"/>
      <c r="O11" s="659"/>
      <c r="P11" s="659"/>
      <c r="Q11" s="659"/>
    </row>
    <row r="12" spans="1:17" ht="12.95" customHeight="1" thickTop="1" thickBot="1">
      <c r="A12" s="39"/>
      <c r="B12" s="40"/>
      <c r="C12" s="41"/>
      <c r="D12" s="41"/>
      <c r="E12" s="42"/>
      <c r="F12" s="43">
        <f>SUM(F4:F6)</f>
        <v>0</v>
      </c>
      <c r="G12" s="44" t="s">
        <v>15</v>
      </c>
      <c r="H12" s="670"/>
      <c r="I12" s="41"/>
      <c r="J12" s="41"/>
      <c r="K12" s="42"/>
      <c r="L12" s="42"/>
      <c r="M12" s="42"/>
      <c r="N12" s="43">
        <f>SUM(N4:N11)</f>
        <v>1320</v>
      </c>
      <c r="O12" s="49" t="s">
        <v>15</v>
      </c>
      <c r="P12" s="49">
        <v>0</v>
      </c>
      <c r="Q12" s="508" t="s">
        <v>343</v>
      </c>
    </row>
    <row r="13" spans="1:17" ht="12.95" customHeight="1">
      <c r="C13" s="664"/>
      <c r="F13" s="759"/>
      <c r="N13" s="760"/>
      <c r="O13" s="762"/>
      <c r="P13" s="762"/>
      <c r="Q13" s="762"/>
    </row>
    <row r="14" spans="1:17" ht="12.95" customHeight="1">
      <c r="A14" s="761"/>
    </row>
  </sheetData>
  <mergeCells count="2">
    <mergeCell ref="A3:G3"/>
    <mergeCell ref="H3:Q3"/>
  </mergeCells>
  <pageMargins left="0" right="0" top="0.75" bottom="0.75" header="0.3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Summery</vt:lpstr>
      <vt:lpstr>2943_IAY-076AA.11</vt:lpstr>
      <vt:lpstr>2975_IAY-077AA.11</vt:lpstr>
      <vt:lpstr>1419_SAP-636BB.90</vt:lpstr>
      <vt:lpstr>1428_SAP-636CB.90</vt:lpstr>
      <vt:lpstr>2249_254933AA.11</vt:lpstr>
      <vt:lpstr>1525_255789AA.11</vt:lpstr>
      <vt:lpstr>2390_257145AA.10</vt:lpstr>
      <vt:lpstr>2245_254555AA.11</vt:lpstr>
      <vt:lpstr>2230_257156AA.11</vt:lpstr>
      <vt:lpstr>'1419_SAP-636BB.90'!Print_Area</vt:lpstr>
      <vt:lpstr>'1428_SAP-636CB.90'!Print_Area</vt:lpstr>
      <vt:lpstr>'1525_255789AA.11'!Print_Area</vt:lpstr>
      <vt:lpstr>'2230_257156AA.11'!Print_Area</vt:lpstr>
      <vt:lpstr>'2245_254555AA.11'!Print_Area</vt:lpstr>
      <vt:lpstr>'2249_254933AA.11'!Print_Area</vt:lpstr>
      <vt:lpstr>'2390_257145AA.10'!Print_Area</vt:lpstr>
      <vt:lpstr>'2943_IAY-076AA.11'!Print_Area</vt:lpstr>
      <vt:lpstr>'2975_IAY-077AA.11'!Print_Area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Supattra</dc:creator>
  <cp:lastModifiedBy>seethapathy suresh</cp:lastModifiedBy>
  <cp:lastPrinted>2026-06-24T03:35:52Z</cp:lastPrinted>
  <dcterms:created xsi:type="dcterms:W3CDTF">2024-10-17T05:53:28Z</dcterms:created>
  <dcterms:modified xsi:type="dcterms:W3CDTF">2026-08-20T04:33:29Z</dcterms:modified>
</cp:coreProperties>
</file>