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Eschler-costing\to_excel\"/>
    </mc:Choice>
  </mc:AlternateContent>
  <xr:revisionPtr revIDLastSave="0" documentId="13_ncr:1_{EE3CD454-1A3F-4200-926A-E7837989D092}" xr6:coauthVersionLast="47" xr6:coauthVersionMax="47" xr10:uidLastSave="{00000000-0000-0000-0000-000000000000}"/>
  <bookViews>
    <workbookView xWindow="-120" yWindow="-120" windowWidth="29040" windowHeight="15720" xr2:uid="{68034D2D-DCDE-4227-BA42-C87B4F315D6E}"/>
  </bookViews>
  <sheets>
    <sheet name="price_book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2" l="1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B7" i="2"/>
</calcChain>
</file>

<file path=xl/sharedStrings.xml><?xml version="1.0" encoding="utf-8"?>
<sst xmlns="http://schemas.openxmlformats.org/spreadsheetml/2006/main" count="334" uniqueCount="86">
  <si>
    <t>price_id</t>
  </si>
  <si>
    <t>customer</t>
  </si>
  <si>
    <t>article</t>
  </si>
  <si>
    <t>article_variant</t>
  </si>
  <si>
    <t>fabric_name</t>
  </si>
  <si>
    <t>composition</t>
  </si>
  <si>
    <t>full_width_cm</t>
  </si>
  <si>
    <t>usable_width_cm</t>
  </si>
  <si>
    <t>weight_gsm</t>
  </si>
  <si>
    <t>moq</t>
  </si>
  <si>
    <t>qty_min</t>
  </si>
  <si>
    <t>qty_max</t>
  </si>
  <si>
    <t>qty_unit</t>
  </si>
  <si>
    <t>color_tier</t>
  </si>
  <si>
    <t>price_usd</t>
  </si>
  <si>
    <t>price_thb</t>
  </si>
  <si>
    <t>terms</t>
  </si>
  <si>
    <t>valid_from</t>
  </si>
  <si>
    <t>valid_to</t>
  </si>
  <si>
    <t>quote_ref</t>
  </si>
  <si>
    <t>source_sheet</t>
  </si>
  <si>
    <t>notes</t>
  </si>
  <si>
    <t>CENTER</t>
  </si>
  <si>
    <t>256524</t>
  </si>
  <si>
    <t>CO/PA PIQUET</t>
  </si>
  <si>
    <t>59% CO, 41% PA</t>
  </si>
  <si>
    <t>160-165</t>
  </si>
  <si>
    <t>155-160</t>
  </si>
  <si>
    <t>65-70</t>
  </si>
  <si>
    <t>3,000 m</t>
  </si>
  <si>
    <t>M</t>
  </si>
  <si>
    <t>PFE/PFD</t>
  </si>
  <si>
    <t>FOB Bangkok</t>
  </si>
  <si>
    <t>Center price 4-Mar-2020</t>
  </si>
  <si>
    <t>CENTER_Main</t>
  </si>
  <si>
    <t>All_colors</t>
  </si>
  <si>
    <t>ANITA</t>
  </si>
  <si>
    <t>FOB Bangkok / DDP excl VAT</t>
  </si>
  <si>
    <t>ANITA sheet</t>
  </si>
  <si>
    <t>ANITA_Thailand_Germany</t>
  </si>
  <si>
    <t>White</t>
  </si>
  <si>
    <t>Light</t>
  </si>
  <si>
    <t>Medium</t>
  </si>
  <si>
    <t>Dark</t>
  </si>
  <si>
    <t>Made in Thailand</t>
  </si>
  <si>
    <t>ETH</t>
  </si>
  <si>
    <t>CO/PA PIQUE</t>
  </si>
  <si>
    <t>PFD</t>
  </si>
  <si>
    <t>THB Ex works</t>
  </si>
  <si>
    <t>Price offer 06.02.2023</t>
  </si>
  <si>
    <t>ETH_Sheet</t>
  </si>
  <si>
    <t>BISCHOFF</t>
  </si>
  <si>
    <t>PFE_Stock</t>
  </si>
  <si>
    <t>PFE STOCK for Bischoff</t>
  </si>
  <si>
    <t>Dated_Quotes</t>
  </si>
  <si>
    <t>251205</t>
  </si>
  <si>
    <t>251166</t>
  </si>
  <si>
    <t>ELASTIC CHARMEUSE</t>
  </si>
  <si>
    <t>80% PA, 20% ELASTANE</t>
  </si>
  <si>
    <t>150-155</t>
  </si>
  <si>
    <t>145-150</t>
  </si>
  <si>
    <t>145-160</t>
  </si>
  <si>
    <t>251195</t>
  </si>
  <si>
    <t>PA CHARMEUSE SILK TOUCH</t>
  </si>
  <si>
    <t>100% PA</t>
  </si>
  <si>
    <t>36-41</t>
  </si>
  <si>
    <t>LOOKUP INPUTS</t>
  </si>
  <si>
    <t>Article</t>
  </si>
  <si>
    <t>Customer</t>
  </si>
  <si>
    <t>Color tier</t>
  </si>
  <si>
    <t>Qty</t>
  </si>
  <si>
    <t>Qty unit</t>
  </si>
  <si>
    <t>As-of date</t>
  </si>
  <si>
    <t>RESULT (best match โ€” exact customer preferred; CENTER fallback shown below)</t>
  </si>
  <si>
    <t>Matching rule: article = input; customer = input (else CENTER); color_tier = input; qty_unit = input; qty_min &lt;= Qty AND (qty_max blank OR qty_max &gt;= Qty). Validity is DISPLAYED so you can judge if a quote is stale; As-of date is for reference only.</t>
  </si>
  <si>
    <t>Match source</t>
  </si>
  <si>
    <t>Row #</t>
  </si>
  <si>
    <t>USD/unit</t>
  </si>
  <si>
    <t>THB/unit</t>
  </si>
  <si>
    <t>Qty band</t>
  </si>
  <si>
    <t>Terms</t>
  </si>
  <si>
    <t>Valid</t>
  </si>
  <si>
    <t>Source sheet</t>
  </si>
  <si>
    <t>Notes</t>
  </si>
  <si>
    <t>Exact customer</t>
  </si>
  <si>
    <t>CENTER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</si>
</sst>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2" fontId="2" fillId="2" borderId="0" xfId="0" applyNumberFormat="1" applyFont="1" applyFill="1"/>
    <xf numFmtId="164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E6E6E6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164" formatCode="yyyy\-mm\-dd"/>
    </dxf>
    <dxf>
      <numFmt numFmtId="164" formatCode="yyyy\-mm\-dd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A9BCB-2B25-4557-AD67-7EC5DF10E2FA}" name="price_book_tbl" displayName="price_book_tbl" ref="A1:V25" totalsRowShown="0" headerRowDxfId="0">
  <autoFilter ref="A1:V25" xr:uid="{FF5A9BCB-2B25-4557-AD67-7EC5DF10E2FA}"/>
  <tableColumns count="22">
    <tableColumn id="1" xr3:uid="{82F2953B-A635-46C4-9AB6-D2CEE9E2715E}" name="price_id"/>
    <tableColumn id="2" xr3:uid="{972BE055-5B0A-448B-833A-352397BE3321}" name="customer" dataDxfId="19"/>
    <tableColumn id="3" xr3:uid="{0DD617FF-2F15-4EBF-A762-ED115FD59EE7}" name="article" dataDxfId="18"/>
    <tableColumn id="4" xr3:uid="{5DACF1E0-9EB2-4579-A076-C241A6D24B63}" name="article_variant" dataDxfId="17"/>
    <tableColumn id="5" xr3:uid="{AD06C21E-23AD-4FE0-BEB5-53A7A1C44463}" name="fabric_name" dataDxfId="16"/>
    <tableColumn id="6" xr3:uid="{E0FEAF26-F120-46B2-85D9-9DAD12B45044}" name="composition" dataDxfId="15"/>
    <tableColumn id="7" xr3:uid="{A20BAC67-63F8-4666-B789-DC8E804A08B4}" name="full_width_cm" dataDxfId="14"/>
    <tableColumn id="8" xr3:uid="{56117A04-7F78-44BA-BA5D-F6BAEC3A4423}" name="usable_width_cm" dataDxfId="13"/>
    <tableColumn id="9" xr3:uid="{F1382938-4F93-4181-AB1F-A8BA1614B6BA}" name="weight_gsm" dataDxfId="12"/>
    <tableColumn id="10" xr3:uid="{77CCADF1-BF90-46D7-A552-B493D2BE805C}" name="moq" dataDxfId="11"/>
    <tableColumn id="11" xr3:uid="{605C6430-3589-47DF-BBEE-9AD2D9CD7EF0}" name="qty_min"/>
    <tableColumn id="12" xr3:uid="{1EF88E5E-0D1E-40FD-B9E4-CEE14A6BAA46}" name="qty_max"/>
    <tableColumn id="13" xr3:uid="{6D162210-10B5-42AF-A4E9-BDB384DF43D3}" name="qty_unit" dataDxfId="10"/>
    <tableColumn id="14" xr3:uid="{CA07B0E7-459C-456B-A89F-C20F20365EE5}" name="color_tier" dataDxfId="9"/>
    <tableColumn id="15" xr3:uid="{6EE92C05-6A94-4F89-B857-10631588E26B}" name="price_usd" dataDxfId="8"/>
    <tableColumn id="16" xr3:uid="{5526F109-CB23-4D2D-AAD8-F671C2C8A5C7}" name="price_thb" dataDxfId="7"/>
    <tableColumn id="17" xr3:uid="{B9559581-952D-4977-8D0E-63750BF1A097}" name="terms" dataDxfId="6"/>
    <tableColumn id="18" xr3:uid="{A17B97AC-0625-47A6-A797-0DC0E034DBF9}" name="valid_from" dataDxfId="5"/>
    <tableColumn id="19" xr3:uid="{59A0A889-9DE4-49AC-B5ED-6529D9E670C2}" name="valid_to" dataDxfId="4"/>
    <tableColumn id="20" xr3:uid="{1927800E-FDA1-41DE-803B-0E885B362754}" name="quote_ref" dataDxfId="3"/>
    <tableColumn id="21" xr3:uid="{B866AE9B-D81E-418B-9A3B-7CD004EFA744}" name="source_sheet" dataDxfId="2"/>
    <tableColumn id="22" xr3:uid="{8430E088-EC5D-41CE-9645-DC3E73BCBC06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AB0-9CA8-4EF3-B052-0AD78FF9F902}">
  <dimension ref="A1:V25"/>
  <sheetViews>
    <sheetView tabSelected="1" workbookViewId="0">
      <pane ySplit="1" topLeftCell="A2" activePane="bottomLeft" state="frozenSplit"/>
      <selection pane="bottomLeft" activeCell="N3" sqref="N3"/>
    </sheetView>
  </sheetViews>
  <sheetFormatPr defaultRowHeight="15" x14ac:dyDescent="0.25"/>
  <cols>
    <col min="1" max="1" width="10.42578125" bestFit="1" customWidth="1"/>
    <col min="2" max="2" width="11.5703125" style="1" bestFit="1" customWidth="1"/>
    <col min="3" max="3" width="8.85546875" style="1" bestFit="1" customWidth="1"/>
    <col min="4" max="4" width="16.140625" style="1" bestFit="1" customWidth="1"/>
    <col min="5" max="5" width="25.85546875" style="1" bestFit="1" customWidth="1"/>
    <col min="6" max="6" width="21.7109375" style="1" bestFit="1" customWidth="1"/>
    <col min="7" max="7" width="16.140625" style="1" bestFit="1" customWidth="1"/>
    <col min="8" max="8" width="19" style="1" bestFit="1" customWidth="1"/>
    <col min="9" max="9" width="14" style="1" bestFit="1" customWidth="1"/>
    <col min="10" max="10" width="7.7109375" style="1" bestFit="1" customWidth="1"/>
    <col min="11" max="11" width="10.5703125" bestFit="1" customWidth="1"/>
    <col min="12" max="12" width="10.85546875" bestFit="1" customWidth="1"/>
    <col min="13" max="13" width="10.7109375" style="1" bestFit="1" customWidth="1"/>
    <col min="14" max="14" width="11.85546875" style="1" bestFit="1" customWidth="1"/>
    <col min="15" max="15" width="11.85546875" style="3" bestFit="1" customWidth="1"/>
    <col min="16" max="16" width="11.7109375" style="3" bestFit="1" customWidth="1"/>
    <col min="17" max="17" width="26.42578125" style="1" bestFit="1" customWidth="1"/>
    <col min="18" max="18" width="12.85546875" style="2" bestFit="1" customWidth="1"/>
    <col min="19" max="19" width="10.42578125" style="2" bestFit="1" customWidth="1"/>
    <col min="20" max="20" width="22.5703125" style="1" bestFit="1" customWidth="1"/>
    <col min="21" max="21" width="24.5703125" style="1" bestFit="1" customWidth="1"/>
    <col min="22" max="22" width="16.28515625" style="1" bestFit="1" customWidth="1"/>
  </cols>
  <sheetData>
    <row r="1" spans="1:22" s="14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0" t="s">
        <v>10</v>
      </c>
      <c r="L1" s="10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1" t="s">
        <v>16</v>
      </c>
      <c r="R1" s="13" t="s">
        <v>17</v>
      </c>
      <c r="S1" s="13" t="s">
        <v>18</v>
      </c>
      <c r="T1" s="11" t="s">
        <v>19</v>
      </c>
      <c r="U1" s="11" t="s">
        <v>20</v>
      </c>
      <c r="V1" s="11" t="s">
        <v>21</v>
      </c>
    </row>
    <row r="2" spans="1:22" x14ac:dyDescent="0.25">
      <c r="A2">
        <v>1</v>
      </c>
      <c r="B2" s="1" t="s">
        <v>22</v>
      </c>
      <c r="C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>
        <v>200</v>
      </c>
      <c r="L2">
        <v>600</v>
      </c>
      <c r="M2" s="1" t="s">
        <v>30</v>
      </c>
      <c r="N2" s="1" t="s">
        <v>31</v>
      </c>
      <c r="O2" s="3">
        <v>3.05</v>
      </c>
      <c r="Q2" s="1" t="s">
        <v>32</v>
      </c>
      <c r="R2" s="2">
        <v>43894</v>
      </c>
      <c r="T2" s="1" t="s">
        <v>33</v>
      </c>
      <c r="U2" s="1" t="s">
        <v>34</v>
      </c>
    </row>
    <row r="3" spans="1:22" x14ac:dyDescent="0.25">
      <c r="A3">
        <v>2</v>
      </c>
      <c r="B3" s="1" t="s">
        <v>22</v>
      </c>
      <c r="C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>
        <v>200</v>
      </c>
      <c r="L3">
        <v>600</v>
      </c>
      <c r="M3" s="1" t="s">
        <v>30</v>
      </c>
      <c r="N3" s="1" t="s">
        <v>35</v>
      </c>
      <c r="O3" s="3">
        <v>3.85</v>
      </c>
      <c r="Q3" s="1" t="s">
        <v>32</v>
      </c>
      <c r="R3" s="2">
        <v>43894</v>
      </c>
      <c r="T3" s="1" t="s">
        <v>33</v>
      </c>
      <c r="U3" s="1" t="s">
        <v>34</v>
      </c>
    </row>
    <row r="4" spans="1:22" x14ac:dyDescent="0.25">
      <c r="A4">
        <v>3</v>
      </c>
      <c r="B4" s="1" t="s">
        <v>22</v>
      </c>
      <c r="C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>
        <v>601</v>
      </c>
      <c r="L4">
        <v>2000</v>
      </c>
      <c r="M4" s="1" t="s">
        <v>30</v>
      </c>
      <c r="N4" s="1" t="s">
        <v>31</v>
      </c>
      <c r="O4" s="3">
        <v>2.75</v>
      </c>
      <c r="Q4" s="1" t="s">
        <v>32</v>
      </c>
      <c r="R4" s="2">
        <v>43894</v>
      </c>
      <c r="T4" s="1" t="s">
        <v>33</v>
      </c>
      <c r="U4" s="1" t="s">
        <v>34</v>
      </c>
    </row>
    <row r="5" spans="1:22" x14ac:dyDescent="0.25">
      <c r="A5">
        <v>4</v>
      </c>
      <c r="B5" s="1" t="s">
        <v>22</v>
      </c>
      <c r="C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>
        <v>601</v>
      </c>
      <c r="L5">
        <v>2000</v>
      </c>
      <c r="M5" s="1" t="s">
        <v>30</v>
      </c>
      <c r="N5" s="1" t="s">
        <v>35</v>
      </c>
      <c r="O5" s="3">
        <v>3.55</v>
      </c>
      <c r="Q5" s="1" t="s">
        <v>32</v>
      </c>
      <c r="R5" s="2">
        <v>43894</v>
      </c>
      <c r="T5" s="1" t="s">
        <v>33</v>
      </c>
      <c r="U5" s="1" t="s">
        <v>34</v>
      </c>
    </row>
    <row r="6" spans="1:22" x14ac:dyDescent="0.25">
      <c r="A6">
        <v>5</v>
      </c>
      <c r="B6" s="1" t="s">
        <v>22</v>
      </c>
      <c r="C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>
        <v>2001</v>
      </c>
      <c r="L6">
        <v>5000</v>
      </c>
      <c r="M6" s="1" t="s">
        <v>30</v>
      </c>
      <c r="N6" s="1" t="s">
        <v>31</v>
      </c>
      <c r="O6" s="3">
        <v>2.65</v>
      </c>
      <c r="Q6" s="1" t="s">
        <v>32</v>
      </c>
      <c r="R6" s="2">
        <v>43894</v>
      </c>
      <c r="T6" s="1" t="s">
        <v>33</v>
      </c>
      <c r="U6" s="1" t="s">
        <v>34</v>
      </c>
    </row>
    <row r="7" spans="1:22" x14ac:dyDescent="0.25">
      <c r="A7">
        <v>6</v>
      </c>
      <c r="B7" s="1" t="s">
        <v>22</v>
      </c>
      <c r="C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>
        <v>2001</v>
      </c>
      <c r="L7">
        <v>5000</v>
      </c>
      <c r="M7" s="1" t="s">
        <v>30</v>
      </c>
      <c r="N7" s="1" t="s">
        <v>35</v>
      </c>
      <c r="O7" s="3">
        <v>3.4</v>
      </c>
      <c r="Q7" s="1" t="s">
        <v>32</v>
      </c>
      <c r="R7" s="2">
        <v>43894</v>
      </c>
      <c r="T7" s="1" t="s">
        <v>33</v>
      </c>
      <c r="U7" s="1" t="s">
        <v>34</v>
      </c>
    </row>
    <row r="8" spans="1:22" x14ac:dyDescent="0.25">
      <c r="A8">
        <v>7</v>
      </c>
      <c r="B8" s="1" t="s">
        <v>36</v>
      </c>
      <c r="C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K8">
        <v>200</v>
      </c>
      <c r="L8">
        <v>700</v>
      </c>
      <c r="M8" s="1" t="s">
        <v>30</v>
      </c>
      <c r="N8" s="1" t="s">
        <v>31</v>
      </c>
      <c r="O8" s="3">
        <v>5.2</v>
      </c>
      <c r="P8" s="3">
        <v>156</v>
      </c>
      <c r="Q8" s="1" t="s">
        <v>37</v>
      </c>
      <c r="R8" s="2">
        <v>41275</v>
      </c>
      <c r="S8" s="2">
        <v>42369</v>
      </c>
      <c r="T8" s="1" t="s">
        <v>38</v>
      </c>
      <c r="U8" s="1" t="s">
        <v>39</v>
      </c>
    </row>
    <row r="9" spans="1:22" x14ac:dyDescent="0.25">
      <c r="A9">
        <v>8</v>
      </c>
      <c r="B9" s="1" t="s">
        <v>36</v>
      </c>
      <c r="C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K9">
        <v>200</v>
      </c>
      <c r="L9">
        <v>700</v>
      </c>
      <c r="M9" s="1" t="s">
        <v>30</v>
      </c>
      <c r="N9" s="1" t="s">
        <v>40</v>
      </c>
      <c r="O9" s="3">
        <v>5.97</v>
      </c>
      <c r="P9" s="3">
        <v>179</v>
      </c>
      <c r="Q9" s="1" t="s">
        <v>37</v>
      </c>
      <c r="R9" s="2">
        <v>41275</v>
      </c>
      <c r="S9" s="2">
        <v>42369</v>
      </c>
      <c r="T9" s="1" t="s">
        <v>38</v>
      </c>
      <c r="U9" s="1" t="s">
        <v>39</v>
      </c>
    </row>
    <row r="10" spans="1:22" x14ac:dyDescent="0.25">
      <c r="A10">
        <v>9</v>
      </c>
      <c r="B10" s="1" t="s">
        <v>36</v>
      </c>
      <c r="C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K10">
        <v>200</v>
      </c>
      <c r="L10">
        <v>700</v>
      </c>
      <c r="M10" s="1" t="s">
        <v>30</v>
      </c>
      <c r="N10" s="1" t="s">
        <v>41</v>
      </c>
      <c r="O10" s="3">
        <v>6.1</v>
      </c>
      <c r="P10" s="3">
        <v>183</v>
      </c>
      <c r="Q10" s="1" t="s">
        <v>37</v>
      </c>
      <c r="R10" s="2">
        <v>41275</v>
      </c>
      <c r="S10" s="2">
        <v>42369</v>
      </c>
      <c r="T10" s="1" t="s">
        <v>38</v>
      </c>
      <c r="U10" s="1" t="s">
        <v>39</v>
      </c>
    </row>
    <row r="11" spans="1:22" x14ac:dyDescent="0.25">
      <c r="A11">
        <v>10</v>
      </c>
      <c r="B11" s="1" t="s">
        <v>36</v>
      </c>
      <c r="C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K11">
        <v>200</v>
      </c>
      <c r="L11">
        <v>700</v>
      </c>
      <c r="M11" s="1" t="s">
        <v>30</v>
      </c>
      <c r="N11" s="1" t="s">
        <v>42</v>
      </c>
      <c r="O11" s="3">
        <v>6.1</v>
      </c>
      <c r="P11" s="3">
        <v>183</v>
      </c>
      <c r="Q11" s="1" t="s">
        <v>37</v>
      </c>
      <c r="R11" s="2">
        <v>41275</v>
      </c>
      <c r="S11" s="2">
        <v>42369</v>
      </c>
      <c r="T11" s="1" t="s">
        <v>38</v>
      </c>
      <c r="U11" s="1" t="s">
        <v>39</v>
      </c>
    </row>
    <row r="12" spans="1:22" x14ac:dyDescent="0.25">
      <c r="A12">
        <v>11</v>
      </c>
      <c r="B12" s="1" t="s">
        <v>36</v>
      </c>
      <c r="C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28</v>
      </c>
      <c r="K12">
        <v>200</v>
      </c>
      <c r="L12">
        <v>700</v>
      </c>
      <c r="M12" s="1" t="s">
        <v>30</v>
      </c>
      <c r="N12" s="1" t="s">
        <v>43</v>
      </c>
      <c r="O12" s="3">
        <v>6.1</v>
      </c>
      <c r="P12" s="3">
        <v>183</v>
      </c>
      <c r="Q12" s="1" t="s">
        <v>37</v>
      </c>
      <c r="R12" s="2">
        <v>41275</v>
      </c>
      <c r="S12" s="2">
        <v>42369</v>
      </c>
      <c r="T12" s="1" t="s">
        <v>38</v>
      </c>
      <c r="U12" s="1" t="s">
        <v>39</v>
      </c>
    </row>
    <row r="13" spans="1:22" x14ac:dyDescent="0.25">
      <c r="A13">
        <v>12</v>
      </c>
      <c r="B13" s="1" t="s">
        <v>36</v>
      </c>
      <c r="C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K13">
        <v>701</v>
      </c>
      <c r="L13">
        <v>2500</v>
      </c>
      <c r="M13" s="1" t="s">
        <v>30</v>
      </c>
      <c r="N13" s="1" t="s">
        <v>31</v>
      </c>
      <c r="O13" s="3">
        <v>4.93</v>
      </c>
      <c r="P13" s="3">
        <v>148</v>
      </c>
      <c r="Q13" s="1" t="s">
        <v>37</v>
      </c>
      <c r="R13" s="2">
        <v>41275</v>
      </c>
      <c r="S13" s="2">
        <v>42369</v>
      </c>
      <c r="T13" s="1" t="s">
        <v>38</v>
      </c>
      <c r="U13" s="1" t="s">
        <v>39</v>
      </c>
      <c r="V13" s="1" t="s">
        <v>44</v>
      </c>
    </row>
    <row r="14" spans="1:22" x14ac:dyDescent="0.25">
      <c r="A14">
        <v>13</v>
      </c>
      <c r="B14" s="1" t="s">
        <v>36</v>
      </c>
      <c r="C14" s="1" t="s">
        <v>23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28</v>
      </c>
      <c r="K14">
        <v>701</v>
      </c>
      <c r="L14">
        <v>2500</v>
      </c>
      <c r="M14" s="1" t="s">
        <v>30</v>
      </c>
      <c r="N14" s="1" t="s">
        <v>40</v>
      </c>
      <c r="O14" s="3">
        <v>5.5</v>
      </c>
      <c r="P14" s="3">
        <v>165</v>
      </c>
      <c r="Q14" s="1" t="s">
        <v>37</v>
      </c>
      <c r="R14" s="2">
        <v>41275</v>
      </c>
      <c r="S14" s="2">
        <v>42369</v>
      </c>
      <c r="T14" s="1" t="s">
        <v>38</v>
      </c>
      <c r="U14" s="1" t="s">
        <v>39</v>
      </c>
      <c r="V14" s="1" t="s">
        <v>44</v>
      </c>
    </row>
    <row r="15" spans="1:22" x14ac:dyDescent="0.25">
      <c r="A15">
        <v>14</v>
      </c>
      <c r="B15" s="1" t="s">
        <v>36</v>
      </c>
      <c r="C15" s="1" t="s">
        <v>23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28</v>
      </c>
      <c r="K15">
        <v>701</v>
      </c>
      <c r="L15">
        <v>2500</v>
      </c>
      <c r="M15" s="1" t="s">
        <v>30</v>
      </c>
      <c r="N15" s="1" t="s">
        <v>41</v>
      </c>
      <c r="O15" s="3">
        <v>5.63</v>
      </c>
      <c r="P15" s="3">
        <v>169</v>
      </c>
      <c r="Q15" s="1" t="s">
        <v>37</v>
      </c>
      <c r="R15" s="2">
        <v>41275</v>
      </c>
      <c r="S15" s="2">
        <v>42369</v>
      </c>
      <c r="T15" s="1" t="s">
        <v>38</v>
      </c>
      <c r="U15" s="1" t="s">
        <v>39</v>
      </c>
      <c r="V15" s="1" t="s">
        <v>44</v>
      </c>
    </row>
    <row r="16" spans="1:22" x14ac:dyDescent="0.25">
      <c r="A16">
        <v>15</v>
      </c>
      <c r="B16" s="1" t="s">
        <v>36</v>
      </c>
      <c r="C16" s="1" t="s">
        <v>23</v>
      </c>
      <c r="E16" s="1" t="s">
        <v>24</v>
      </c>
      <c r="F16" s="1" t="s">
        <v>25</v>
      </c>
      <c r="G16" s="1" t="s">
        <v>26</v>
      </c>
      <c r="H16" s="1" t="s">
        <v>27</v>
      </c>
      <c r="I16" s="1" t="s">
        <v>28</v>
      </c>
      <c r="K16">
        <v>701</v>
      </c>
      <c r="L16">
        <v>2500</v>
      </c>
      <c r="M16" s="1" t="s">
        <v>30</v>
      </c>
      <c r="N16" s="1" t="s">
        <v>42</v>
      </c>
      <c r="O16" s="3">
        <v>5.63</v>
      </c>
      <c r="P16" s="3">
        <v>169</v>
      </c>
      <c r="Q16" s="1" t="s">
        <v>37</v>
      </c>
      <c r="R16" s="2">
        <v>41275</v>
      </c>
      <c r="S16" s="2">
        <v>42369</v>
      </c>
      <c r="T16" s="1" t="s">
        <v>38</v>
      </c>
      <c r="U16" s="1" t="s">
        <v>39</v>
      </c>
      <c r="V16" s="1" t="s">
        <v>44</v>
      </c>
    </row>
    <row r="17" spans="1:22" x14ac:dyDescent="0.25">
      <c r="A17">
        <v>16</v>
      </c>
      <c r="B17" s="1" t="s">
        <v>36</v>
      </c>
      <c r="C17" s="1" t="s">
        <v>23</v>
      </c>
      <c r="E17" s="1" t="s">
        <v>24</v>
      </c>
      <c r="F17" s="1" t="s">
        <v>25</v>
      </c>
      <c r="G17" s="1" t="s">
        <v>26</v>
      </c>
      <c r="H17" s="1" t="s">
        <v>27</v>
      </c>
      <c r="I17" s="1" t="s">
        <v>28</v>
      </c>
      <c r="K17">
        <v>701</v>
      </c>
      <c r="L17">
        <v>2500</v>
      </c>
      <c r="M17" s="1" t="s">
        <v>30</v>
      </c>
      <c r="N17" s="1" t="s">
        <v>43</v>
      </c>
      <c r="O17" s="3">
        <v>5.83</v>
      </c>
      <c r="P17" s="3">
        <v>175</v>
      </c>
      <c r="Q17" s="1" t="s">
        <v>37</v>
      </c>
      <c r="R17" s="2">
        <v>41275</v>
      </c>
      <c r="S17" s="2">
        <v>42369</v>
      </c>
      <c r="T17" s="1" t="s">
        <v>38</v>
      </c>
      <c r="U17" s="1" t="s">
        <v>39</v>
      </c>
      <c r="V17" s="1" t="s">
        <v>44</v>
      </c>
    </row>
    <row r="18" spans="1:22" x14ac:dyDescent="0.25">
      <c r="A18">
        <v>17</v>
      </c>
      <c r="B18" s="1" t="s">
        <v>36</v>
      </c>
      <c r="C18" s="1" t="s">
        <v>23</v>
      </c>
      <c r="E18" s="1" t="s">
        <v>24</v>
      </c>
      <c r="F18" s="1" t="s">
        <v>25</v>
      </c>
      <c r="G18" s="1" t="s">
        <v>26</v>
      </c>
      <c r="H18" s="1" t="s">
        <v>27</v>
      </c>
      <c r="I18" s="1" t="s">
        <v>28</v>
      </c>
      <c r="K18">
        <v>2501</v>
      </c>
      <c r="L18">
        <v>10000</v>
      </c>
      <c r="M18" s="1" t="s">
        <v>30</v>
      </c>
      <c r="N18" s="1" t="s">
        <v>31</v>
      </c>
      <c r="O18" s="3">
        <v>4.7699999999999996</v>
      </c>
      <c r="P18" s="3">
        <v>143</v>
      </c>
      <c r="Q18" s="1" t="s">
        <v>37</v>
      </c>
      <c r="R18" s="2">
        <v>41275</v>
      </c>
      <c r="S18" s="2">
        <v>42369</v>
      </c>
      <c r="T18" s="1" t="s">
        <v>38</v>
      </c>
      <c r="U18" s="1" t="s">
        <v>39</v>
      </c>
    </row>
    <row r="19" spans="1:22" x14ac:dyDescent="0.25">
      <c r="A19">
        <v>18</v>
      </c>
      <c r="B19" s="1" t="s">
        <v>36</v>
      </c>
      <c r="C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28</v>
      </c>
      <c r="K19">
        <v>2501</v>
      </c>
      <c r="L19">
        <v>10000</v>
      </c>
      <c r="M19" s="1" t="s">
        <v>30</v>
      </c>
      <c r="N19" s="1" t="s">
        <v>41</v>
      </c>
      <c r="O19" s="3">
        <v>5.33</v>
      </c>
      <c r="P19" s="3">
        <v>160</v>
      </c>
      <c r="Q19" s="1" t="s">
        <v>37</v>
      </c>
      <c r="R19" s="2">
        <v>41275</v>
      </c>
      <c r="S19" s="2">
        <v>42369</v>
      </c>
      <c r="T19" s="1" t="s">
        <v>38</v>
      </c>
      <c r="U19" s="1" t="s">
        <v>39</v>
      </c>
    </row>
    <row r="20" spans="1:22" x14ac:dyDescent="0.25">
      <c r="A20">
        <v>19</v>
      </c>
      <c r="B20" s="1" t="s">
        <v>45</v>
      </c>
      <c r="C20" s="1" t="s">
        <v>23</v>
      </c>
      <c r="E20" s="1" t="s">
        <v>46</v>
      </c>
      <c r="F20" s="1" t="s">
        <v>25</v>
      </c>
      <c r="H20" s="1" t="s">
        <v>27</v>
      </c>
      <c r="K20">
        <v>1000</v>
      </c>
      <c r="M20" s="1" t="s">
        <v>30</v>
      </c>
      <c r="N20" s="1" t="s">
        <v>47</v>
      </c>
      <c r="P20" s="3">
        <v>98</v>
      </c>
      <c r="Q20" s="1" t="s">
        <v>48</v>
      </c>
      <c r="R20" s="2">
        <v>44963</v>
      </c>
      <c r="T20" s="1" t="s">
        <v>49</v>
      </c>
      <c r="U20" s="1" t="s">
        <v>50</v>
      </c>
    </row>
    <row r="21" spans="1:22" x14ac:dyDescent="0.25">
      <c r="A21">
        <v>20</v>
      </c>
      <c r="B21" s="1" t="s">
        <v>45</v>
      </c>
      <c r="C21" s="1" t="s">
        <v>23</v>
      </c>
      <c r="E21" s="1" t="s">
        <v>46</v>
      </c>
      <c r="F21" s="1" t="s">
        <v>25</v>
      </c>
      <c r="H21" s="1" t="s">
        <v>27</v>
      </c>
      <c r="K21">
        <v>5000</v>
      </c>
      <c r="M21" s="1" t="s">
        <v>30</v>
      </c>
      <c r="N21" s="1" t="s">
        <v>47</v>
      </c>
      <c r="P21" s="3">
        <v>94</v>
      </c>
      <c r="Q21" s="1" t="s">
        <v>48</v>
      </c>
      <c r="R21" s="2">
        <v>44963</v>
      </c>
      <c r="T21" s="1" t="s">
        <v>49</v>
      </c>
      <c r="U21" s="1" t="s">
        <v>50</v>
      </c>
    </row>
    <row r="22" spans="1:22" x14ac:dyDescent="0.25">
      <c r="A22">
        <v>21</v>
      </c>
      <c r="B22" s="1" t="s">
        <v>51</v>
      </c>
      <c r="C22" s="1" t="s">
        <v>23</v>
      </c>
      <c r="E22" s="1" t="s">
        <v>24</v>
      </c>
      <c r="F22" s="1" t="s">
        <v>25</v>
      </c>
      <c r="K22">
        <v>1</v>
      </c>
      <c r="M22" s="1" t="s">
        <v>30</v>
      </c>
      <c r="N22" s="1" t="s">
        <v>52</v>
      </c>
      <c r="P22" s="3">
        <v>99</v>
      </c>
      <c r="R22" s="2">
        <v>45449</v>
      </c>
      <c r="T22" s="1" t="s">
        <v>53</v>
      </c>
      <c r="U22" s="1" t="s">
        <v>54</v>
      </c>
    </row>
    <row r="23" spans="1:22" x14ac:dyDescent="0.25">
      <c r="A23">
        <v>22</v>
      </c>
      <c r="B23" s="1" t="s">
        <v>36</v>
      </c>
      <c r="C23" s="1" t="s">
        <v>55</v>
      </c>
      <c r="K23">
        <v>200</v>
      </c>
      <c r="L23">
        <v>700</v>
      </c>
      <c r="M23" s="1" t="s">
        <v>30</v>
      </c>
      <c r="N23" s="1" t="s">
        <v>41</v>
      </c>
      <c r="O23" s="3">
        <v>6.27</v>
      </c>
      <c r="P23" s="3">
        <v>188</v>
      </c>
      <c r="Q23" s="1" t="s">
        <v>37</v>
      </c>
      <c r="R23" s="2">
        <v>41275</v>
      </c>
      <c r="S23" s="2">
        <v>42369</v>
      </c>
      <c r="T23" s="1" t="s">
        <v>38</v>
      </c>
      <c r="U23" s="1" t="s">
        <v>39</v>
      </c>
    </row>
    <row r="24" spans="1:22" x14ac:dyDescent="0.25">
      <c r="A24">
        <v>23</v>
      </c>
      <c r="B24" s="1" t="s">
        <v>22</v>
      </c>
      <c r="C24" s="1" t="s">
        <v>56</v>
      </c>
      <c r="E24" s="1" t="s">
        <v>57</v>
      </c>
      <c r="F24" s="1" t="s">
        <v>58</v>
      </c>
      <c r="G24" s="1" t="s">
        <v>59</v>
      </c>
      <c r="H24" s="1" t="s">
        <v>60</v>
      </c>
      <c r="I24" s="1" t="s">
        <v>61</v>
      </c>
      <c r="J24" s="1" t="s">
        <v>29</v>
      </c>
      <c r="K24">
        <v>200</v>
      </c>
      <c r="L24">
        <v>600</v>
      </c>
      <c r="M24" s="1" t="s">
        <v>30</v>
      </c>
      <c r="N24" s="1" t="s">
        <v>35</v>
      </c>
      <c r="O24" s="3">
        <v>5.33</v>
      </c>
      <c r="Q24" s="1" t="s">
        <v>32</v>
      </c>
      <c r="R24" s="2">
        <v>43894</v>
      </c>
      <c r="T24" s="1" t="s">
        <v>33</v>
      </c>
      <c r="U24" s="1" t="s">
        <v>34</v>
      </c>
    </row>
    <row r="25" spans="1:22" x14ac:dyDescent="0.25">
      <c r="A25">
        <v>24</v>
      </c>
      <c r="B25" s="1" t="s">
        <v>22</v>
      </c>
      <c r="C25" s="1" t="s">
        <v>62</v>
      </c>
      <c r="E25" s="1" t="s">
        <v>63</v>
      </c>
      <c r="F25" s="1" t="s">
        <v>64</v>
      </c>
      <c r="G25" s="1" t="s">
        <v>59</v>
      </c>
      <c r="H25" s="1" t="s">
        <v>60</v>
      </c>
      <c r="I25" s="1" t="s">
        <v>65</v>
      </c>
      <c r="J25" s="1" t="s">
        <v>29</v>
      </c>
      <c r="K25">
        <v>200</v>
      </c>
      <c r="L25">
        <v>600</v>
      </c>
      <c r="M25" s="1" t="s">
        <v>30</v>
      </c>
      <c r="N25" s="1" t="s">
        <v>35</v>
      </c>
      <c r="O25" s="3">
        <v>2.9</v>
      </c>
      <c r="Q25" s="1" t="s">
        <v>32</v>
      </c>
      <c r="R25" s="2">
        <v>43894</v>
      </c>
      <c r="T25" s="1" t="s">
        <v>33</v>
      </c>
      <c r="U25" s="1" t="s">
        <v>34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A23D-100F-450D-BD05-7537448009F8}">
  <dimension ref="A1:I14"/>
  <sheetViews>
    <sheetView workbookViewId="0">
      <selection activeCell="B2" sqref="B2"/>
    </sheetView>
  </sheetViews>
  <sheetFormatPr defaultRowHeight="15" x14ac:dyDescent="0.25"/>
  <cols>
    <col min="1" max="1" width="74.7109375" bestFit="1" customWidth="1"/>
    <col min="2" max="2" width="10.42578125" bestFit="1" customWidth="1"/>
    <col min="4" max="4" width="8.85546875" bestFit="1" customWidth="1"/>
    <col min="5" max="5" width="11.7109375" bestFit="1" customWidth="1"/>
    <col min="6" max="6" width="26.42578125" bestFit="1" customWidth="1"/>
    <col min="7" max="7" width="22.28515625" bestFit="1" customWidth="1"/>
    <col min="8" max="8" width="24.5703125" bestFit="1" customWidth="1"/>
    <col min="9" max="9" width="16.28515625" bestFit="1" customWidth="1"/>
  </cols>
  <sheetData>
    <row r="1" spans="1:9" x14ac:dyDescent="0.25">
      <c r="A1" s="4" t="s">
        <v>66</v>
      </c>
    </row>
    <row r="2" spans="1:9" x14ac:dyDescent="0.25">
      <c r="A2" s="4" t="s">
        <v>67</v>
      </c>
      <c r="B2" s="6" t="s">
        <v>23</v>
      </c>
    </row>
    <row r="3" spans="1:9" x14ac:dyDescent="0.25">
      <c r="A3" s="4" t="s">
        <v>68</v>
      </c>
      <c r="B3" s="6" t="s">
        <v>36</v>
      </c>
    </row>
    <row r="4" spans="1:9" x14ac:dyDescent="0.25">
      <c r="A4" s="4" t="s">
        <v>69</v>
      </c>
      <c r="B4" s="6" t="s">
        <v>41</v>
      </c>
    </row>
    <row r="5" spans="1:9" x14ac:dyDescent="0.25">
      <c r="A5" s="4" t="s">
        <v>70</v>
      </c>
      <c r="B5" s="7">
        <v>1000</v>
      </c>
    </row>
    <row r="6" spans="1:9" x14ac:dyDescent="0.25">
      <c r="A6" s="4" t="s">
        <v>71</v>
      </c>
      <c r="B6" s="6" t="s">
        <v>30</v>
      </c>
    </row>
    <row r="7" spans="1:9" x14ac:dyDescent="0.25">
      <c r="A7" s="4" t="s">
        <v>72</v>
      </c>
      <c r="B7" s="8">
        <f ca="1">TODAY()</f>
        <v>46272</v>
      </c>
    </row>
    <row r="9" spans="1:9" x14ac:dyDescent="0.25">
      <c r="A9" s="4" t="s">
        <v>73</v>
      </c>
    </row>
    <row r="10" spans="1:9" ht="409.5" customHeight="1" x14ac:dyDescent="0.25">
      <c r="A10" s="9" t="s">
        <v>74</v>
      </c>
      <c r="B10" s="9"/>
      <c r="C10" s="9"/>
      <c r="D10" s="9"/>
      <c r="E10" s="9"/>
      <c r="F10" s="9"/>
      <c r="G10" s="9"/>
      <c r="H10" s="9"/>
      <c r="I10" s="9"/>
    </row>
    <row r="12" spans="1:9" x14ac:dyDescent="0.25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80</v>
      </c>
      <c r="G12" s="5" t="s">
        <v>81</v>
      </c>
      <c r="H12" s="5" t="s">
        <v>82</v>
      </c>
      <c r="I12" s="5" t="s">
        <v>83</v>
      </c>
    </row>
    <row r="13" spans="1:9" x14ac:dyDescent="0.25">
      <c r="A13" t="s">
        <v>84</v>
      </c>
      <c r="B13">
        <f>IFERROR(_xlfn.AGGREGATE(15,6,ROW(INDEX(price_book_tbl[article],0))/((INDEX(price_book_tbl[article],0)=""&amp;$B$2)*(INDEX(price_book_tbl[customer],0)=""&amp;$B$3)*(INDEX(price_book_tbl[color_tier],0)=""&amp;$B$4)*(INDEX(price_book_tbl[qty_unit],0)=""&amp;$B$6)*(INDEX(price_book_tbl[qty_min],0)&lt;=$B$5)*((INDEX(price_book_tbl[qty_max],0)="")+((INDEX(price_book_tbl[qty_max],0)&lt;&gt;"")*(INDEX(price_book_tbl[qty_max],0)&gt;=$B$5)))),1)-ROW(price_book_tbl[[#Headers],[article]]),"")</f>
        <v>14</v>
      </c>
      <c r="C13" s="3">
        <f>IFERROR(INDEX(price_book_tbl[price_usd],$B$13),"")</f>
        <v>5.63</v>
      </c>
      <c r="D13" s="3">
        <f>IFERROR(INDEX(price_book_tbl[price_thb],$B$13),"")</f>
        <v>169</v>
      </c>
      <c r="E13" t="str">
        <f>IFERROR(INDEX(price_book_tbl[qty_min],$B$13)&amp;" - "&amp;IF(INDEX(price_book_tbl[qty_max],$B$13)="","+",INDEX(price_book_tbl[qty_max],$B$13))&amp;" "&amp;INDEX(price_book_tbl[qty_unit],$B$13),"")</f>
        <v>701 - 2500 M</v>
      </c>
      <c r="F13" t="str">
        <f>IFERROR(INDEX(price_book_tbl[terms],$B$13),"")</f>
        <v>FOB Bangkok / DDP excl VAT</v>
      </c>
      <c r="G13" t="str">
        <f>IFERROR(TEXT(INDEX(price_book_tbl[valid_from],$B$13),"yyyy-mm-dd")&amp;" .. "&amp;IF(INDEX(price_book_tbl[valid_to],$B$13)="","open",TEXT(INDEX(price_book_tbl[valid_to],$B$13),"yyyy-mm-dd")),"")</f>
        <v>2013-01-01 .. 2015-12-31</v>
      </c>
      <c r="H13" t="str">
        <f>IFERROR(INDEX(price_book_tbl[source_sheet],$B$13),"")</f>
        <v>ANITA_Thailand_Germany</v>
      </c>
      <c r="I13" t="str">
        <f>IFERROR(INDEX(price_book_tbl[notes],$B$13),"")</f>
        <v>Made in Thailand</v>
      </c>
    </row>
    <row r="14" spans="1:9" x14ac:dyDescent="0.25">
      <c r="A14" t="s">
        <v>85</v>
      </c>
      <c r="B14" t="str">
        <f>IFERROR(_xlfn.AGGREGATE(15,6,ROW(INDEX(price_book_tbl[article],0))/((INDEX(price_book_tbl[article],0)=""&amp;$B$2)*(INDEX(price_book_tbl[customer],0)=""&amp;"CENTER")*(INDEX(price_book_tbl[color_tier],0)=""&amp;$B$4)*(INDEX(price_book_tbl[qty_unit],0)=""&amp;$B$6)*(INDEX(price_book_tbl[qty_min],0)&lt;=$B$5)*((INDEX(price_book_tbl[qty_max],0)="")+((INDEX(price_book_tbl[qty_max],0)&lt;&gt;"")*(INDEX(price_book_tbl[qty_max],0)&gt;=$B$5)))),1)-ROW(price_book_tbl[[#Headers],[article]]),"")</f>
        <v/>
      </c>
      <c r="C14" s="3" t="str">
        <f>IFERROR(INDEX(price_book_tbl[price_usd],$B$14),"")</f>
        <v/>
      </c>
      <c r="D14" s="3" t="str">
        <f>IFERROR(INDEX(price_book_tbl[price_thb],$B$14),"")</f>
        <v/>
      </c>
      <c r="E14" t="str">
        <f>IFERROR(INDEX(price_book_tbl[qty_min],$B$14)&amp;" - "&amp;IF(INDEX(price_book_tbl[qty_max],$B$14)="","+",INDEX(price_book_tbl[qty_max],$B$14))&amp;" "&amp;INDEX(price_book_tbl[qty_unit],$B$14),"")</f>
        <v/>
      </c>
      <c r="F14" t="str">
        <f>IFERROR(INDEX(price_book_tbl[terms],$B$14),"")</f>
        <v/>
      </c>
      <c r="G14" t="str">
        <f>IFERROR(TEXT(INDEX(price_book_tbl[valid_from],$B$14),"yyyy-mm-dd")&amp;" .. "&amp;IF(INDEX(price_book_tbl[valid_to],$B$14)="","open",TEXT(INDEX(price_book_tbl[valid_to],$B$14),"yyyy-mm-dd")),"")</f>
        <v/>
      </c>
      <c r="H14" t="str">
        <f>IFERROR(INDEX(price_book_tbl[source_sheet],$B$14),"")</f>
        <v/>
      </c>
      <c r="I14" t="str">
        <f>IFERROR(INDEX(price_book_tbl[notes],$B$14),"")</f>
        <v/>
      </c>
    </row>
  </sheetData>
  <mergeCells count="1"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price_book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seethapathy suresh</dc:creator>
  <cp:lastModifiedBy>seethapathy suresh</cp:lastModifiedBy>
  <dcterms:created xsi:type="dcterms:W3CDTF">2026-08-19T01:40:54Z</dcterms:created>
  <dcterms:modified xsi:type="dcterms:W3CDTF">2026-09-07T10:42:03Z</dcterms:modified>
</cp:coreProperties>
</file>